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دخلات" sheetId="1" state="visible" r:id="rId1"/>
    <sheet name="التكلفة_السنوية" sheetId="2" state="visible" r:id="rId2"/>
    <sheet name="التدفق_الشهري" sheetId="3" state="visible" r:id="rId3"/>
    <sheet name="السيناريوهات" sheetId="4" state="visible" r:id="rId4"/>
    <sheet name="مقارنة_البدائل" sheetId="5" state="visible" r:id="rId5"/>
    <sheet name="خريطة_المزايا" sheetId="6" state="visible" r:id="rId6"/>
    <sheet name="سيناريو_مونجو" sheetId="7" state="visible" r:id="rId7"/>
    <sheet name="B1_التفاصيل" sheetId="8" state="visible" r:id="rId8"/>
    <sheet name="باقة_7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0F766E"/>
      <sz val="14"/>
    </font>
    <font>
      <b val="1"/>
      <color rgb="00FFFFFF"/>
      <sz val="11"/>
    </font>
    <font>
      <b val="1"/>
    </font>
    <font>
      <b val="1"/>
      <color rgb="000F766E"/>
    </font>
    <font>
      <b val="1"/>
      <sz val="12"/>
    </font>
    <font>
      <b val="1"/>
      <color rgb="00B91C1C"/>
    </font>
    <font>
      <b val="1"/>
      <color rgb="00B45309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3" fillId="0" borderId="0" pivotButton="0" quotePrefix="0" xfId="0"/>
    <xf numFmtId="2" fontId="5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0" fillId="0" borderId="1" pivotButton="0" quotePrefix="0" xfId="0"/>
    <xf numFmtId="2" fontId="3" fillId="4" borderId="0" pivotButton="0" quotePrefix="0" xfId="0"/>
    <xf numFmtId="0" fontId="6" fillId="0" borderId="0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42" customWidth="1" min="4" max="4"/>
  </cols>
  <sheetData>
    <row r="1" ht="24" customHeight="1">
      <c r="A1" s="1" t="inlineStr">
        <is>
          <t>مدخلات النموذج — عدّل القيم الصفراء وسيتحدّث كل شيء تلقائياً</t>
        </is>
      </c>
    </row>
    <row r="3">
      <c r="A3" s="2" t="inlineStr">
        <is>
          <t>البيان</t>
        </is>
      </c>
      <c r="B3" s="2" t="inlineStr">
        <is>
          <t>القيمة</t>
        </is>
      </c>
      <c r="C3" s="2" t="inlineStr">
        <is>
          <t>الوحدة</t>
        </is>
      </c>
      <c r="D3" s="2" t="inlineStr">
        <is>
          <t>ملاحظة</t>
        </is>
      </c>
    </row>
    <row r="4">
      <c r="A4" s="3" t="inlineStr">
        <is>
          <t>أسابيع النشر في السنة</t>
        </is>
      </c>
      <c r="B4" s="4" t="n">
        <v>48</v>
      </c>
      <c r="C4" s="3" t="inlineStr">
        <is>
          <t>أسبوع</t>
        </is>
      </c>
      <c r="D4" s="3" t="inlineStr">
        <is>
          <t>4 أسابيع إجازات</t>
        </is>
      </c>
    </row>
    <row r="5">
      <c r="A5" s="3" t="inlineStr">
        <is>
          <t>محاضرات في الأسبوع</t>
        </is>
      </c>
      <c r="B5" s="4" t="n">
        <v>4</v>
      </c>
      <c r="C5" s="3" t="inlineStr">
        <is>
          <t>محاضرة</t>
        </is>
      </c>
      <c r="D5" s="3" t="inlineStr">
        <is>
          <t>ثابت حسب الطلب</t>
        </is>
      </c>
    </row>
    <row r="6">
      <c r="A6" s="3" t="inlineStr">
        <is>
          <t>ساعات المحاضرة الواحدة</t>
        </is>
      </c>
      <c r="B6" s="4" t="n">
        <v>2</v>
      </c>
      <c r="C6" s="3" t="inlineStr">
        <is>
          <t>ساعة</t>
        </is>
      </c>
      <c r="D6" s="3" t="inlineStr">
        <is>
          <t>ثابت حسب الطلب</t>
        </is>
      </c>
    </row>
    <row r="7">
      <c r="A7" s="3" t="inlineStr">
        <is>
          <t>عدد الطلاب النشطين</t>
        </is>
      </c>
      <c r="B7" s="4" t="n">
        <v>2000</v>
      </c>
      <c r="C7" s="3" t="inlineStr">
        <is>
          <t>طالب</t>
        </is>
      </c>
      <c r="D7" s="3" t="inlineStr">
        <is>
          <t>افتراض</t>
        </is>
      </c>
    </row>
    <row r="8">
      <c r="A8" s="3" t="inlineStr">
        <is>
          <t>ساعات المشاهدة / طالب / شهر</t>
        </is>
      </c>
      <c r="B8" s="4" t="n">
        <v>12</v>
      </c>
      <c r="C8" s="3" t="inlineStr">
        <is>
          <t>ساعة</t>
        </is>
      </c>
      <c r="D8" s="3" t="inlineStr">
        <is>
          <t>≈35% من المحتوى المنشور</t>
        </is>
      </c>
    </row>
    <row r="9">
      <c r="A9" s="3" t="inlineStr">
        <is>
          <t>حجم كل الجودات معاً (480+720+1080+صوت)</t>
        </is>
      </c>
      <c r="B9" s="4" t="n">
        <v>3.75</v>
      </c>
      <c r="C9" s="3" t="inlineStr">
        <is>
          <t>GB/ساعة</t>
        </is>
      </c>
      <c r="D9" s="3" t="inlineStr">
        <is>
          <t>≈8.3 Mbps إجمالي</t>
        </is>
      </c>
    </row>
    <row r="10">
      <c r="A10" s="3" t="inlineStr">
        <is>
          <t>متوسط مدة بقاء الفيديو على R2</t>
        </is>
      </c>
      <c r="B10" s="4" t="n">
        <v>6</v>
      </c>
      <c r="C10" s="3" t="inlineStr">
        <is>
          <t>شهر</t>
        </is>
      </c>
      <c r="D10" s="3" t="inlineStr">
        <is>
          <t>تراكم سنة ثم حذف → متوسط 6 شهور</t>
        </is>
      </c>
    </row>
    <row r="11">
      <c r="A11" s="3" t="inlineStr">
        <is>
          <t>معدل بث المشاهدة الافتراضي (720p)</t>
        </is>
      </c>
      <c r="B11" s="4" t="n">
        <v>2.5</v>
      </c>
      <c r="C11" s="3" t="inlineStr">
        <is>
          <t>Mbps</t>
        </is>
      </c>
      <c r="D11" s="3" t="inlineStr">
        <is>
          <t>لحساب حجم التوصيل</t>
        </is>
      </c>
    </row>
    <row r="12">
      <c r="A12" s="3" t="inlineStr">
        <is>
          <t>طول شريحة HLS</t>
        </is>
      </c>
      <c r="B12" s="4" t="n">
        <v>5</v>
      </c>
      <c r="C12" s="3" t="inlineStr">
        <is>
          <t>ثانية</t>
        </is>
      </c>
      <c r="D12" s="3" t="inlineStr">
        <is>
          <t>يحدّد عدد الكائنات</t>
        </is>
      </c>
    </row>
    <row r="13">
      <c r="A13" s="3" t="inlineStr">
        <is>
          <t>نسبة القراءات من كاش الحافة</t>
        </is>
      </c>
      <c r="B13" s="4" t="n">
        <v>0.85</v>
      </c>
      <c r="C13" s="3" t="inlineStr">
        <is>
          <t>نسبة</t>
        </is>
      </c>
      <c r="D13" s="3" t="inlineStr">
        <is>
          <t>Cache-Control: immutable</t>
        </is>
      </c>
    </row>
    <row r="14">
      <c r="A14" s="3" t="inlineStr">
        <is>
          <t>سعر تخزين R2</t>
        </is>
      </c>
      <c r="B14" s="4" t="n">
        <v>0.015</v>
      </c>
      <c r="C14" s="3" t="inlineStr">
        <is>
          <t>$/GB-شهر</t>
        </is>
      </c>
      <c r="D14" s="3" t="inlineStr">
        <is>
          <t>Standard storage</t>
        </is>
      </c>
    </row>
    <row r="15">
      <c r="A15" s="3" t="inlineStr">
        <is>
          <t>سعر سحب Bunny (أوروبا/أمريكا)</t>
        </is>
      </c>
      <c r="B15" s="4" t="n">
        <v>0.01</v>
      </c>
      <c r="C15" s="3" t="inlineStr">
        <is>
          <t>$/GB</t>
        </is>
      </c>
      <c r="D15" s="3" t="inlineStr">
        <is>
          <t>Standard network</t>
        </is>
      </c>
    </row>
    <row r="16">
      <c r="A16" s="3" t="inlineStr">
        <is>
          <t>سعر سحب Bunny (الشرق الأوسط/أفريقيا)</t>
        </is>
      </c>
      <c r="B16" s="4" t="n">
        <v>0.06</v>
      </c>
      <c r="C16" s="3" t="inlineStr">
        <is>
          <t>$/GB</t>
        </is>
      </c>
      <c r="D16" s="3" t="inlineStr">
        <is>
          <t>أسوأ حالة</t>
        </is>
      </c>
    </row>
    <row r="17">
      <c r="A17" s="3" t="inlineStr">
        <is>
          <t>سعر باقة Workers المدفوعة</t>
        </is>
      </c>
      <c r="B17" s="4" t="n">
        <v>5</v>
      </c>
      <c r="C17" s="3" t="inlineStr">
        <is>
          <t>$/شهر</t>
        </is>
      </c>
      <c r="D17" s="3" t="inlineStr">
        <is>
          <t>تشمل 10M طلب + 30M CPU-ms</t>
        </is>
      </c>
    </row>
    <row r="18">
      <c r="A18" s="3" t="inlineStr">
        <is>
          <t>تجديد النطاق</t>
        </is>
      </c>
      <c r="B18" s="4" t="n">
        <v>15</v>
      </c>
      <c r="C18" s="3" t="inlineStr">
        <is>
          <t>$/سنة</t>
        </is>
      </c>
      <c r="D18" s="3" t="inlineStr">
        <is>
          <t>نطاق واحد + ساب دومينات</t>
        </is>
      </c>
    </row>
    <row r="19">
      <c r="A19" s="3" t="inlineStr">
        <is>
          <t>حساب Google Play</t>
        </is>
      </c>
      <c r="B19" s="4" t="n">
        <v>25</v>
      </c>
      <c r="C19" s="3" t="inlineStr">
        <is>
          <t>$ لمرة واحدة</t>
        </is>
      </c>
      <c r="D19" s="3" t="inlineStr">
        <is>
          <t>السنة الأولى فقط</t>
        </is>
      </c>
    </row>
    <row r="21">
      <c r="A21" s="5" t="inlineStr">
        <is>
          <t>حسابات مشتقّة</t>
        </is>
      </c>
    </row>
    <row r="22">
      <c r="A22" s="3" t="inlineStr">
        <is>
          <t>محاضرات / سنة</t>
        </is>
      </c>
      <c r="B22" s="6">
        <f>'المدخلات'!$B$4*'المدخلات'!$B$5</f>
        <v/>
      </c>
      <c r="C22" s="3" t="inlineStr">
        <is>
          <t>—</t>
        </is>
      </c>
    </row>
    <row r="23">
      <c r="A23" s="3" t="inlineStr">
        <is>
          <t>ساعات محتوى / سنة</t>
        </is>
      </c>
      <c r="B23" s="6">
        <f>B22*'المدخلات'!$B$6</f>
        <v/>
      </c>
      <c r="C23" s="3" t="inlineStr">
        <is>
          <t>—</t>
        </is>
      </c>
    </row>
    <row r="24">
      <c r="A24" s="3" t="inlineStr">
        <is>
          <t>دقائق محتوى / سنة</t>
        </is>
      </c>
      <c r="B24" s="6">
        <f>B23*60</f>
        <v/>
      </c>
      <c r="C24" s="3" t="inlineStr">
        <is>
          <t>—</t>
        </is>
      </c>
    </row>
    <row r="25">
      <c r="A25" s="3" t="inlineStr">
        <is>
          <t>حجم المحاضرة الواحدة (GB)</t>
        </is>
      </c>
      <c r="B25" s="6">
        <f>'المدخلات'!$B$6*'المدخلات'!$B$9</f>
        <v/>
      </c>
      <c r="C25" s="3" t="inlineStr">
        <is>
          <t>—</t>
        </is>
      </c>
    </row>
    <row r="26">
      <c r="A26" s="3" t="inlineStr">
        <is>
          <t>حجم المحتوى السنوي (GB)</t>
        </is>
      </c>
      <c r="B26" s="6">
        <f>B22*B25</f>
        <v/>
      </c>
      <c r="C26" s="3" t="inlineStr">
        <is>
          <t>—</t>
        </is>
      </c>
    </row>
    <row r="27">
      <c r="A27" s="3" t="inlineStr">
        <is>
          <t>ذروة التخزين بنهاية السنة (TB)</t>
        </is>
      </c>
      <c r="B27" s="6">
        <f>B26/1000</f>
        <v/>
      </c>
      <c r="C27" s="3" t="inlineStr">
        <is>
          <t>—</t>
        </is>
      </c>
    </row>
    <row r="28">
      <c r="A28" s="3" t="inlineStr">
        <is>
          <t>شرائح / محاضرة (4 مسارات)</t>
        </is>
      </c>
      <c r="B28" s="6">
        <f>3600/'المدخلات'!$B$12*'المدخلات'!$B$6*4</f>
        <v/>
      </c>
      <c r="C28" s="3" t="inlineStr">
        <is>
          <t>—</t>
        </is>
      </c>
    </row>
    <row r="29">
      <c r="A29" s="3" t="inlineStr">
        <is>
          <t>كائنات مكتوبة على R2 / سنة</t>
        </is>
      </c>
      <c r="B29" s="6">
        <f>B22*(B28+8)</f>
        <v/>
      </c>
      <c r="C29" s="3" t="inlineStr">
        <is>
          <t>—</t>
        </is>
      </c>
    </row>
    <row r="30">
      <c r="A30" s="3" t="inlineStr">
        <is>
          <t>حجم التوصيل للطلاب (TB/سنة)</t>
        </is>
      </c>
      <c r="B30" s="6">
        <f>'المدخلات'!$B$7*'المدخلات'!$B$8*('المدخلات'!$B$11/8*3600/1000)*12/1000</f>
        <v/>
      </c>
      <c r="C30" s="3" t="inlineStr">
        <is>
          <t>—</t>
        </is>
      </c>
    </row>
    <row r="31">
      <c r="A31" s="3" t="inlineStr">
        <is>
          <t>قراءات الشرائح / شهر</t>
        </is>
      </c>
      <c r="B31" s="6">
        <f>'المدخلات'!$B$7*'المدخلات'!$B$8*3600/'المدخلات'!$B$12</f>
        <v/>
      </c>
      <c r="C31" s="3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  <col width="60" customWidth="1" min="4" max="4"/>
  </cols>
  <sheetData>
    <row r="1" ht="24" customHeight="1">
      <c r="A1" s="1" t="inlineStr">
        <is>
          <t>التكلفة السنوية التفصيلية — السنة الأولى (بالدولار)</t>
        </is>
      </c>
    </row>
    <row r="3">
      <c r="A3" s="2" t="inlineStr">
        <is>
          <t>البند</t>
        </is>
      </c>
      <c r="B3" s="2" t="inlineStr">
        <is>
          <t>الخدمة</t>
        </is>
      </c>
      <c r="C3" s="2" t="inlineStr">
        <is>
          <t>التكلفة السنوية ($)</t>
        </is>
      </c>
      <c r="D3" s="2" t="inlineStr">
        <is>
          <t>ملاحظة</t>
        </is>
      </c>
    </row>
    <row r="4">
      <c r="A4" s="3" t="inlineStr">
        <is>
          <t>باقة Workers المدفوعة</t>
        </is>
      </c>
      <c r="B4" s="3" t="inlineStr">
        <is>
          <t>Cloudflare Workers</t>
        </is>
      </c>
      <c r="C4" s="7">
        <f>'المدخلات'!$B$17*12</f>
        <v/>
      </c>
      <c r="D4" s="3" t="inlineStr">
        <is>
          <t>10M طلب + 30M CPU-ms شهرياً — مطلوبة لرفع حد الـ subrequests إلى 1000</t>
        </is>
      </c>
    </row>
    <row r="5">
      <c r="A5" s="3" t="inlineStr">
        <is>
          <t>تخزين شرائح الفيديو HLS</t>
        </is>
      </c>
      <c r="B5" s="3" t="inlineStr">
        <is>
          <t>Cloudflare R2</t>
        </is>
      </c>
      <c r="C5" s="7">
        <f>MAX(0,('المدخلات'!$B$26*'المدخلات'!$B$10/12)-10)*'المدخلات'!$B$14*12</f>
        <v/>
      </c>
      <c r="D5" s="3" t="inlineStr">
        <is>
          <t>البند الأكبر — ينمو كل شهر ثم يُصفَّر بنهاية السنة</t>
        </is>
      </c>
    </row>
    <row r="6">
      <c r="A6" s="3" t="inlineStr">
        <is>
          <t>عمليات كتابة (Class A)</t>
        </is>
      </c>
      <c r="B6" s="3" t="inlineStr">
        <is>
          <t>Cloudflare R2</t>
        </is>
      </c>
      <c r="C6" s="7">
        <f>0</f>
        <v/>
      </c>
      <c r="D6" s="3" t="inlineStr">
        <is>
          <t>≈1.1M كائن/سنة — ضمن المجاني (1M/شهر)</t>
        </is>
      </c>
    </row>
    <row r="7">
      <c r="A7" s="3" t="inlineStr">
        <is>
          <t>عمليات قراءة (Class B)</t>
        </is>
      </c>
      <c r="B7" s="3" t="inlineStr">
        <is>
          <t>Cloudflare R2</t>
        </is>
      </c>
      <c r="C7" s="7">
        <f>MAX(0,'المدخلات'!$B$31*(1-'المدخلات'!$B$13)-10000000)/1000000*0.36*12</f>
        <v/>
      </c>
      <c r="D7" s="3" t="inlineStr">
        <is>
          <t>ضمن المجاني (10M/شهر) بفضل كاش الحافة</t>
        </is>
      </c>
    </row>
    <row r="8">
      <c r="A8" s="3" t="inlineStr">
        <is>
          <t>قاعدة البيانات (كورسات/دروس/تقدم/كويزات/أسئلة)</t>
        </is>
      </c>
      <c r="B8" s="3" t="inlineStr">
        <is>
          <t>Cloudflare D1</t>
        </is>
      </c>
      <c r="C8" s="7">
        <f>0</f>
        <v/>
      </c>
      <c r="D8" s="3" t="inlineStr">
        <is>
          <t>25 مليار صف قراءة + 50 مليون كتابة + 5GB مجاناً</t>
        </is>
      </c>
    </row>
    <row r="9">
      <c r="A9" s="3" t="inlineStr">
        <is>
          <t>مفاتيح التشفير + تتبّع النقل</t>
        </is>
      </c>
      <c r="B9" s="3" t="inlineStr">
        <is>
          <t>Cloudflare KV</t>
        </is>
      </c>
      <c r="C9" s="7">
        <f>0</f>
        <v/>
      </c>
      <c r="D9" s="3" t="inlineStr">
        <is>
          <t>10M قراءة + 1M كتابة مجاناً شهرياً</t>
        </is>
      </c>
    </row>
    <row r="10">
      <c r="A10" s="3" t="inlineStr">
        <is>
          <t>طابور نقل الفيديو</t>
        </is>
      </c>
      <c r="B10" s="3" t="inlineStr">
        <is>
          <t>Cloudflare Queues</t>
        </is>
      </c>
      <c r="C10" s="7">
        <f>0</f>
        <v/>
      </c>
      <c r="D10" s="3" t="inlineStr">
        <is>
          <t>1M عملية مجاناً شهرياً</t>
        </is>
      </c>
    </row>
    <row r="11">
      <c r="A11" s="3" t="inlineStr">
        <is>
          <t>لوحة المدرس + ويب الطلاب</t>
        </is>
      </c>
      <c r="B11" s="3" t="inlineStr">
        <is>
          <t>Cloudflare Pages</t>
        </is>
      </c>
      <c r="C11" s="7">
        <f>0</f>
        <v/>
      </c>
      <c r="D11" s="3" t="inlineStr">
        <is>
          <t>استضافة ونطاقات وبناء مجاني</t>
        </is>
      </c>
    </row>
    <row r="12">
      <c r="A12" s="3" t="inlineStr">
        <is>
          <t>تحويل صور الأغلفة</t>
        </is>
      </c>
      <c r="B12" s="3" t="inlineStr">
        <is>
          <t>Cloudflare Images</t>
        </is>
      </c>
      <c r="C12" s="7">
        <f>0</f>
        <v/>
      </c>
      <c r="D12" s="3" t="inlineStr">
        <is>
          <t>5000 تحويلة فريدة مجاناً شهرياً</t>
        </is>
      </c>
    </row>
    <row r="13">
      <c r="A13" s="3" t="inlineStr">
        <is>
          <t>الترميز السحابي (حتى 1080p)</t>
        </is>
      </c>
      <c r="B13" s="3" t="inlineStr">
        <is>
          <t>Bunny Stream</t>
        </is>
      </c>
      <c r="C13" s="7">
        <f>0</f>
        <v/>
      </c>
      <c r="D13" s="3" t="inlineStr">
        <is>
          <t>الترميز القياسي مجاني — Premium فقط بفلوس</t>
        </is>
      </c>
    </row>
    <row r="14">
      <c r="A14" s="3" t="inlineStr">
        <is>
          <t>سحب الشرائح من Bunny + تخزين مؤقت</t>
        </is>
      </c>
      <c r="B14" s="3" t="inlineStr">
        <is>
          <t>Bunny Stream</t>
        </is>
      </c>
      <c r="C14" s="7">
        <f>MAX(12,'المدخلات'!$B$26*1.05*'المدخلات'!$B$15+'المدخلات'!$B$26*1.5*(2/30)*0.01)</f>
        <v/>
      </c>
      <c r="D14" s="3" t="inlineStr">
        <is>
          <t>الحد الأدنى للاستهلاك 1$/شهر</t>
        </is>
      </c>
    </row>
    <row r="15">
      <c r="A15" s="3" t="inlineStr">
        <is>
          <t>المصادقة (JWT)</t>
        </is>
      </c>
      <c r="B15" s="3" t="inlineStr">
        <is>
          <t>Supabase Auth</t>
        </is>
      </c>
      <c r="C15" s="7">
        <f>0</f>
        <v/>
      </c>
      <c r="D15" s="3" t="inlineStr">
        <is>
          <t>مجاني حتى 50,000 مستخدم نشط شهرياً</t>
        </is>
      </c>
    </row>
    <row r="16">
      <c r="A16" s="3" t="inlineStr">
        <is>
          <t>إشعارات Push</t>
        </is>
      </c>
      <c r="B16" s="3" t="inlineStr">
        <is>
          <t>Firebase FCM</t>
        </is>
      </c>
      <c r="C16" s="7">
        <f>0</f>
        <v/>
      </c>
      <c r="D16" s="3" t="inlineStr">
        <is>
          <t>FCM مجاني بالكامل</t>
        </is>
      </c>
    </row>
    <row r="17">
      <c r="A17" s="3" t="inlineStr">
        <is>
          <t>تجديد النطاق</t>
        </is>
      </c>
      <c r="B17" s="3" t="inlineStr">
        <is>
          <t>Domain</t>
        </is>
      </c>
      <c r="C17" s="7">
        <f>'المدخلات'!$B$18</f>
        <v/>
      </c>
      <c r="D17" s="3" t="inlineStr">
        <is>
          <t>نطاق واحد</t>
        </is>
      </c>
    </row>
    <row r="18">
      <c r="A18" s="3" t="inlineStr">
        <is>
          <t>حساب Google Play</t>
        </is>
      </c>
      <c r="B18" s="3" t="inlineStr">
        <is>
          <t>Google Play</t>
        </is>
      </c>
      <c r="C18" s="7">
        <f>'المدخلات'!$B$19</f>
        <v/>
      </c>
      <c r="D18" s="3" t="inlineStr">
        <is>
          <t>مرة واحدة — السنة الأولى فقط</t>
        </is>
      </c>
    </row>
    <row r="19">
      <c r="A19" s="8" t="inlineStr">
        <is>
          <t>الإجمالي — السنة الأولى</t>
        </is>
      </c>
      <c r="C19" s="9">
        <f>SUM(C4:C18)</f>
        <v/>
      </c>
    </row>
    <row r="20">
      <c r="A20" s="8" t="inlineStr">
        <is>
          <t>الإجمالي — السنوات التالية (بدون رسوم Play)</t>
        </is>
      </c>
      <c r="C20" s="9">
        <f>'التكلفة_السنوية'!$C$19-'المدخلات'!$B$19</f>
        <v/>
      </c>
    </row>
    <row r="22">
      <c r="A22" s="8" t="inlineStr">
        <is>
          <t>المتوسط الشهري (السنة الأولى)</t>
        </is>
      </c>
      <c r="C22" s="10">
        <f>'التكلفة_السنوية'!$C$19/12</f>
        <v/>
      </c>
    </row>
    <row r="23">
      <c r="A23" s="8" t="inlineStr">
        <is>
          <t>تكلفة الطالب الواحد / سنة</t>
        </is>
      </c>
      <c r="C23" s="11">
        <f>'التكلفة_السنوية'!$C$19/'المدخلات'!$B$7</f>
        <v/>
      </c>
    </row>
    <row r="24">
      <c r="A24" s="8" t="inlineStr">
        <is>
          <t>تكلفة ساعة المحاضرة الواحدة</t>
        </is>
      </c>
      <c r="C24" s="10">
        <f>'التكلفة_السنوية'!$C$19/'المدخلات'!$B$23</f>
        <v/>
      </c>
    </row>
    <row r="25">
      <c r="A25" s="8" t="inlineStr">
        <is>
          <t>تكلفة التيرابايت المُسلَّم للطلاب</t>
        </is>
      </c>
      <c r="C25" s="10">
        <f>'التكلفة_السنوية'!$C$19/'المدخلات'!$B$30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التدفق الشهري للسنة الأولى (بالدولار)</t>
        </is>
      </c>
    </row>
    <row r="3">
      <c r="A3" s="2" t="inlineStr">
        <is>
          <t>الشهر</t>
        </is>
      </c>
      <c r="B3" s="2" t="inlineStr">
        <is>
          <t>التخزين التراكمي (GB)</t>
        </is>
      </c>
      <c r="C3" s="2" t="inlineStr">
        <is>
          <t>تكلفة التخزين</t>
        </is>
      </c>
      <c r="D3" s="2" t="inlineStr">
        <is>
          <t>Workers</t>
        </is>
      </c>
      <c r="E3" s="2" t="inlineStr">
        <is>
          <t>Bunny</t>
        </is>
      </c>
      <c r="F3" s="2" t="inlineStr">
        <is>
          <t>إجمالي الشهر</t>
        </is>
      </c>
    </row>
    <row r="4">
      <c r="A4" s="3" t="inlineStr">
        <is>
          <t>شهر 1</t>
        </is>
      </c>
      <c r="B4" s="3">
        <f>('المدخلات'!$B$26/12)*(0)+('المدخلات'!$B$26/24)</f>
        <v/>
      </c>
      <c r="C4" s="12">
        <f>MAX(0,B4-10)*'المدخلات'!$B$14</f>
        <v/>
      </c>
      <c r="D4" s="12">
        <f>'المدخلات'!$B$17</f>
        <v/>
      </c>
      <c r="E4" s="12">
        <f>('المدخلات'!$B$26*1.05*'المدخلات'!$B$15+'المدخلات'!$B$26*1.5*(2/30)*0.01)/12</f>
        <v/>
      </c>
      <c r="F4" s="7">
        <f>SUM(C4:E4)</f>
        <v/>
      </c>
    </row>
    <row r="5">
      <c r="A5" s="3" t="inlineStr">
        <is>
          <t>شهر 2</t>
        </is>
      </c>
      <c r="B5" s="3">
        <f>('المدخلات'!$B$26/12)*(1)+('المدخلات'!$B$26/24)</f>
        <v/>
      </c>
      <c r="C5" s="12">
        <f>MAX(0,B5-10)*'المدخلات'!$B$14</f>
        <v/>
      </c>
      <c r="D5" s="12">
        <f>'المدخلات'!$B$17</f>
        <v/>
      </c>
      <c r="E5" s="12">
        <f>('المدخلات'!$B$26*1.05*'المدخلات'!$B$15+'المدخلات'!$B$26*1.5*(2/30)*0.01)/12</f>
        <v/>
      </c>
      <c r="F5" s="7">
        <f>SUM(C5:E5)</f>
        <v/>
      </c>
    </row>
    <row r="6">
      <c r="A6" s="3" t="inlineStr">
        <is>
          <t>شهر 3</t>
        </is>
      </c>
      <c r="B6" s="3">
        <f>('المدخلات'!$B$26/12)*(2)+('المدخلات'!$B$26/24)</f>
        <v/>
      </c>
      <c r="C6" s="12">
        <f>MAX(0,B6-10)*'المدخلات'!$B$14</f>
        <v/>
      </c>
      <c r="D6" s="12">
        <f>'المدخلات'!$B$17</f>
        <v/>
      </c>
      <c r="E6" s="12">
        <f>('المدخلات'!$B$26*1.05*'المدخلات'!$B$15+'المدخلات'!$B$26*1.5*(2/30)*0.01)/12</f>
        <v/>
      </c>
      <c r="F6" s="7">
        <f>SUM(C6:E6)</f>
        <v/>
      </c>
    </row>
    <row r="7">
      <c r="A7" s="3" t="inlineStr">
        <is>
          <t>شهر 4</t>
        </is>
      </c>
      <c r="B7" s="3">
        <f>('المدخلات'!$B$26/12)*(3)+('المدخلات'!$B$26/24)</f>
        <v/>
      </c>
      <c r="C7" s="12">
        <f>MAX(0,B7-10)*'المدخلات'!$B$14</f>
        <v/>
      </c>
      <c r="D7" s="12">
        <f>'المدخلات'!$B$17</f>
        <v/>
      </c>
      <c r="E7" s="12">
        <f>('المدخلات'!$B$26*1.05*'المدخلات'!$B$15+'المدخلات'!$B$26*1.5*(2/30)*0.01)/12</f>
        <v/>
      </c>
      <c r="F7" s="7">
        <f>SUM(C7:E7)</f>
        <v/>
      </c>
    </row>
    <row r="8">
      <c r="A8" s="3" t="inlineStr">
        <is>
          <t>شهر 5</t>
        </is>
      </c>
      <c r="B8" s="3">
        <f>('المدخلات'!$B$26/12)*(4)+('المدخلات'!$B$26/24)</f>
        <v/>
      </c>
      <c r="C8" s="12">
        <f>MAX(0,B8-10)*'المدخلات'!$B$14</f>
        <v/>
      </c>
      <c r="D8" s="12">
        <f>'المدخلات'!$B$17</f>
        <v/>
      </c>
      <c r="E8" s="12">
        <f>('المدخلات'!$B$26*1.05*'المدخلات'!$B$15+'المدخلات'!$B$26*1.5*(2/30)*0.01)/12</f>
        <v/>
      </c>
      <c r="F8" s="7">
        <f>SUM(C8:E8)</f>
        <v/>
      </c>
    </row>
    <row r="9">
      <c r="A9" s="3" t="inlineStr">
        <is>
          <t>شهر 6</t>
        </is>
      </c>
      <c r="B9" s="3">
        <f>('المدخلات'!$B$26/12)*(5)+('المدخلات'!$B$26/24)</f>
        <v/>
      </c>
      <c r="C9" s="12">
        <f>MAX(0,B9-10)*'المدخلات'!$B$14</f>
        <v/>
      </c>
      <c r="D9" s="12">
        <f>'المدخلات'!$B$17</f>
        <v/>
      </c>
      <c r="E9" s="12">
        <f>('المدخلات'!$B$26*1.05*'المدخلات'!$B$15+'المدخلات'!$B$26*1.5*(2/30)*0.01)/12</f>
        <v/>
      </c>
      <c r="F9" s="7">
        <f>SUM(C9:E9)</f>
        <v/>
      </c>
    </row>
    <row r="10">
      <c r="A10" s="3" t="inlineStr">
        <is>
          <t>شهر 7</t>
        </is>
      </c>
      <c r="B10" s="3">
        <f>('المدخلات'!$B$26/12)*(6)+('المدخلات'!$B$26/24)</f>
        <v/>
      </c>
      <c r="C10" s="12">
        <f>MAX(0,B10-10)*'المدخلات'!$B$14</f>
        <v/>
      </c>
      <c r="D10" s="12">
        <f>'المدخلات'!$B$17</f>
        <v/>
      </c>
      <c r="E10" s="12">
        <f>('المدخلات'!$B$26*1.05*'المدخلات'!$B$15+'المدخلات'!$B$26*1.5*(2/30)*0.01)/12</f>
        <v/>
      </c>
      <c r="F10" s="7">
        <f>SUM(C10:E10)</f>
        <v/>
      </c>
    </row>
    <row r="11">
      <c r="A11" s="3" t="inlineStr">
        <is>
          <t>شهر 8</t>
        </is>
      </c>
      <c r="B11" s="3">
        <f>('المدخلات'!$B$26/12)*(7)+('المدخلات'!$B$26/24)</f>
        <v/>
      </c>
      <c r="C11" s="12">
        <f>MAX(0,B11-10)*'المدخلات'!$B$14</f>
        <v/>
      </c>
      <c r="D11" s="12">
        <f>'المدخلات'!$B$17</f>
        <v/>
      </c>
      <c r="E11" s="12">
        <f>('المدخلات'!$B$26*1.05*'المدخلات'!$B$15+'المدخلات'!$B$26*1.5*(2/30)*0.01)/12</f>
        <v/>
      </c>
      <c r="F11" s="7">
        <f>SUM(C11:E11)</f>
        <v/>
      </c>
    </row>
    <row r="12">
      <c r="A12" s="3" t="inlineStr">
        <is>
          <t>شهر 9</t>
        </is>
      </c>
      <c r="B12" s="3">
        <f>('المدخلات'!$B$26/12)*(8)+('المدخلات'!$B$26/24)</f>
        <v/>
      </c>
      <c r="C12" s="12">
        <f>MAX(0,B12-10)*'المدخلات'!$B$14</f>
        <v/>
      </c>
      <c r="D12" s="12">
        <f>'المدخلات'!$B$17</f>
        <v/>
      </c>
      <c r="E12" s="12">
        <f>('المدخلات'!$B$26*1.05*'المدخلات'!$B$15+'المدخلات'!$B$26*1.5*(2/30)*0.01)/12</f>
        <v/>
      </c>
      <c r="F12" s="7">
        <f>SUM(C12:E12)</f>
        <v/>
      </c>
    </row>
    <row r="13">
      <c r="A13" s="3" t="inlineStr">
        <is>
          <t>شهر 10</t>
        </is>
      </c>
      <c r="B13" s="3">
        <f>('المدخلات'!$B$26/12)*(9)+('المدخلات'!$B$26/24)</f>
        <v/>
      </c>
      <c r="C13" s="12">
        <f>MAX(0,B13-10)*'المدخلات'!$B$14</f>
        <v/>
      </c>
      <c r="D13" s="12">
        <f>'المدخلات'!$B$17</f>
        <v/>
      </c>
      <c r="E13" s="12">
        <f>('المدخلات'!$B$26*1.05*'المدخلات'!$B$15+'المدخلات'!$B$26*1.5*(2/30)*0.01)/12</f>
        <v/>
      </c>
      <c r="F13" s="7">
        <f>SUM(C13:E13)</f>
        <v/>
      </c>
    </row>
    <row r="14">
      <c r="A14" s="3" t="inlineStr">
        <is>
          <t>شهر 11</t>
        </is>
      </c>
      <c r="B14" s="3">
        <f>('المدخلات'!$B$26/12)*(10)+('المدخلات'!$B$26/24)</f>
        <v/>
      </c>
      <c r="C14" s="12">
        <f>MAX(0,B14-10)*'المدخلات'!$B$14</f>
        <v/>
      </c>
      <c r="D14" s="12">
        <f>'المدخلات'!$B$17</f>
        <v/>
      </c>
      <c r="E14" s="12">
        <f>('المدخلات'!$B$26*1.05*'المدخلات'!$B$15+'المدخلات'!$B$26*1.5*(2/30)*0.01)/12</f>
        <v/>
      </c>
      <c r="F14" s="7">
        <f>SUM(C14:E14)</f>
        <v/>
      </c>
    </row>
    <row r="15">
      <c r="A15" s="3" t="inlineStr">
        <is>
          <t>شهر 12</t>
        </is>
      </c>
      <c r="B15" s="3">
        <f>('المدخلات'!$B$26/12)*(11)+('المدخلات'!$B$26/24)</f>
        <v/>
      </c>
      <c r="C15" s="12">
        <f>MAX(0,B15-10)*'المدخلات'!$B$14</f>
        <v/>
      </c>
      <c r="D15" s="12">
        <f>'المدخلات'!$B$17</f>
        <v/>
      </c>
      <c r="E15" s="12">
        <f>('المدخلات'!$B$26*1.05*'المدخلات'!$B$15+'المدخلات'!$B$26*1.5*(2/30)*0.01)/12</f>
        <v/>
      </c>
      <c r="F15" s="7">
        <f>SUM(C15:E15)</f>
        <v/>
      </c>
    </row>
    <row r="16">
      <c r="A16" s="8" t="inlineStr">
        <is>
          <t>الإجمالي</t>
        </is>
      </c>
      <c r="C16" s="13">
        <f>SUM(C4:C15)</f>
        <v/>
      </c>
      <c r="D16" s="13">
        <f>SUM(D4:D15)</f>
        <v/>
      </c>
      <c r="E16" s="13">
        <f>SUM(E4:E15)</f>
        <v/>
      </c>
      <c r="F16" s="13">
        <f>SUM(F4:F15)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  <col width="60" customWidth="1" min="4" max="4"/>
  </cols>
  <sheetData>
    <row r="1" ht="24" customHeight="1">
      <c r="A1" s="1" t="inlineStr">
        <is>
          <t>تحليل الحساسية — تأثير كل متغير على التكلفة السنوية</t>
        </is>
      </c>
    </row>
    <row r="3">
      <c r="A3" s="2" t="inlineStr">
        <is>
          <t>السيناريو</t>
        </is>
      </c>
      <c r="B3" s="2" t="inlineStr">
        <is>
          <t>السنة الأولى ($)</t>
        </is>
      </c>
      <c r="C3" s="2" t="inlineStr">
        <is>
          <t>السنوات التالية ($)</t>
        </is>
      </c>
      <c r="D3" s="2" t="inlineStr">
        <is>
          <t>السبب</t>
        </is>
      </c>
    </row>
    <row r="4">
      <c r="A4" s="3" t="inlineStr">
        <is>
          <t>الأساس: 2,000 طالب + تراكم سنة ثم حذف</t>
        </is>
      </c>
      <c r="B4" s="12" t="n">
        <v>244.36</v>
      </c>
      <c r="C4" s="12" t="n">
        <v>219.36</v>
      </c>
      <c r="D4" s="3" t="inlineStr">
        <is>
          <t>المرجع</t>
        </is>
      </c>
    </row>
    <row r="5">
      <c r="A5" s="3" t="inlineStr">
        <is>
          <t>500 طالب فقط</t>
        </is>
      </c>
      <c r="B5" s="12" t="n">
        <v>244.36</v>
      </c>
      <c r="C5" s="12" t="n">
        <v>219.36</v>
      </c>
      <c r="D5" s="3" t="inlineStr">
        <is>
          <t>التكلفة لا تتأثر بعدد الطلاب: الخارج من R2 مجاني</t>
        </is>
      </c>
    </row>
    <row r="6">
      <c r="A6" s="3" t="inlineStr">
        <is>
          <t>10,000 طالب</t>
        </is>
      </c>
      <c r="B6" s="12" t="n">
        <v>257.15</v>
      </c>
      <c r="C6" s="12" t="n">
        <v>232.15</v>
      </c>
      <c r="D6" s="3" t="inlineStr">
        <is>
          <t>+13$ فقط (تجاوز طلبات Workers وقراءات R2)</t>
        </is>
      </c>
    </row>
    <row r="7">
      <c r="A7" s="3" t="inlineStr">
        <is>
          <t>احتفاظ متحرك 12 شهراً (1.44 TB مستقر)</t>
        </is>
      </c>
      <c r="B7" s="12" t="n">
        <v>398.96</v>
      </c>
      <c r="C7" s="12" t="n">
        <v>373.96</v>
      </c>
      <c r="D7" s="3" t="inlineStr">
        <is>
          <t>تخزين 1.44TB طول السنة = 259$/سنة</t>
        </is>
      </c>
    </row>
    <row r="8">
      <c r="A8" s="3" t="inlineStr">
        <is>
          <t>أرشيف دائم بلا حذف — السنة 2</t>
        </is>
      </c>
      <c r="B8" s="12" t="n">
        <v>244.36</v>
      </c>
      <c r="C8" s="12" t="n">
        <v>503.56</v>
      </c>
      <c r="D8" s="3" t="inlineStr">
        <is>
          <t>السنة 1 = 244$، السنة 2 = 504$، السنة 3 = 763$</t>
        </is>
      </c>
    </row>
    <row r="9">
      <c r="A9" s="3" t="inlineStr">
        <is>
          <t>ترميز Bunny Premium 1080p (بدل المجاني)</t>
        </is>
      </c>
      <c r="B9" s="12" t="n">
        <v>1396.36</v>
      </c>
      <c r="C9" s="12" t="n">
        <v>1371.36</v>
      </c>
      <c r="D9" s="3" t="inlineStr">
        <is>
          <t>+0.05$/دقيقة</t>
        </is>
      </c>
    </row>
    <row r="10">
      <c r="A10" s="3" t="inlineStr">
        <is>
          <t>ترميز Bunny Premium 4K</t>
        </is>
      </c>
      <c r="B10" s="12" t="n">
        <v>3700.36</v>
      </c>
      <c r="C10" s="12" t="n">
        <v>3675.36</v>
      </c>
      <c r="D10" s="3" t="inlineStr">
        <is>
          <t>+0.15$/دقيقة — غير مُوصى به</t>
        </is>
      </c>
    </row>
    <row r="11">
      <c r="A11" s="3" t="inlineStr">
        <is>
          <t>سحب الشرائح بتسعير الشرق الأوسط (0.06$/GB)</t>
        </is>
      </c>
      <c r="B11" s="12" t="n">
        <v>319.96</v>
      </c>
      <c r="C11" s="12" t="n">
        <v>294.96</v>
      </c>
      <c r="D11" s="3" t="inlineStr">
        <is>
          <t>بدّل لباقة Volume (0.005$/GB)</t>
        </is>
      </c>
    </row>
    <row r="12">
      <c r="A12" s="3" t="inlineStr">
        <is>
          <t>Supabase Pro (بدل المجاني)</t>
        </is>
      </c>
      <c r="B12" s="12" t="n">
        <v>544.36</v>
      </c>
      <c r="C12" s="12" t="n">
        <v>519.36</v>
      </c>
      <c r="D12" s="3" t="inlineStr">
        <is>
          <t>اختياري: عدم الإيقاف التلقائي + SMTP مخصص</t>
        </is>
      </c>
    </row>
    <row r="13">
      <c r="A13" s="3" t="inlineStr">
        <is>
          <t>الحد الأقصى المتحفظ (كل الباقات المدفوعة)</t>
        </is>
      </c>
      <c r="B13" s="12" t="n">
        <v>651</v>
      </c>
      <c r="C13" s="12" t="n">
        <v>626</v>
      </c>
      <c r="D13" s="3" t="inlineStr">
        <is>
          <t>أسوأ تسعير + بدون كاش + Supabase Pro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8" customWidth="1" min="3" max="3"/>
    <col width="18" customWidth="1" min="4" max="4"/>
    <col width="22" customWidth="1" min="5" max="5"/>
  </cols>
  <sheetData>
    <row r="1" ht="24" customHeight="1">
      <c r="A1" s="1" t="inlineStr">
        <is>
          <t>مقارنة: التصميم الحالي (Bunny → R2) مقابل البدائل — 2,000 طالب / 12 ساعة مشاهدة</t>
        </is>
      </c>
    </row>
    <row r="3">
      <c r="A3" s="2" t="inlineStr">
        <is>
          <t>البديل</t>
        </is>
      </c>
      <c r="B3" s="2" t="inlineStr">
        <is>
          <t>التخزين/السعة</t>
        </is>
      </c>
      <c r="C3" s="2" t="inlineStr">
        <is>
          <t>التوصيل</t>
        </is>
      </c>
      <c r="D3" s="2" t="inlineStr">
        <is>
          <t>خدمات ثابتة</t>
        </is>
      </c>
      <c r="E3" s="2" t="inlineStr">
        <is>
          <t>الإجمالي السنوي ($)</t>
        </is>
      </c>
    </row>
    <row r="4">
      <c r="A4" s="3" t="inlineStr">
        <is>
          <t>الحالي: Bunny Stream (ترميز مجاني) + R2</t>
        </is>
      </c>
      <c r="B4" s="12" t="n">
        <v>127.8</v>
      </c>
      <c r="C4" s="12" t="n">
        <v>0</v>
      </c>
      <c r="D4" s="12" t="n">
        <v>116.56</v>
      </c>
      <c r="E4" s="13" t="n">
        <v>244.36</v>
      </c>
    </row>
    <row r="5">
      <c r="A5" s="3" t="inlineStr">
        <is>
          <t>Cloudflare Stream (بدون R2)</t>
        </is>
      </c>
      <c r="B5" s="12" t="n">
        <v>748.8</v>
      </c>
      <c r="C5" s="12" t="n">
        <v>17280</v>
      </c>
      <c r="D5" s="12" t="n">
        <v>100</v>
      </c>
      <c r="E5" s="13" t="n">
        <v>18128.8</v>
      </c>
    </row>
    <row r="6">
      <c r="A6" s="3" t="inlineStr">
        <is>
          <t>CDN تقليدي بـ 0.05$/GB (مثل Bunny/Bunny CDN مباشر)</t>
        </is>
      </c>
      <c r="B6" s="12" t="n">
        <v>127.8</v>
      </c>
      <c r="C6" s="12" t="n">
        <v>16200</v>
      </c>
      <c r="D6" s="12" t="n">
        <v>100</v>
      </c>
      <c r="E6" s="13" t="n">
        <v>16427.8</v>
      </c>
    </row>
    <row r="7">
      <c r="A7" s="3" t="inlineStr">
        <is>
          <t>S3 + CloudFront بـ 0.09$/GB</t>
        </is>
      </c>
      <c r="B7" s="12" t="n">
        <v>190</v>
      </c>
      <c r="C7" s="12" t="n">
        <v>29160</v>
      </c>
      <c r="D7" s="12" t="n">
        <v>100</v>
      </c>
      <c r="E7" s="13" t="n">
        <v>29450</v>
      </c>
    </row>
    <row r="9">
      <c r="A9" s="14" t="inlineStr">
        <is>
          <t>الوفر السنوي مقابل Cloudflare Stream</t>
        </is>
      </c>
      <c r="E9" s="14" t="n">
        <v>17884.44</v>
      </c>
    </row>
    <row r="10">
      <c r="A10" s="14" t="inlineStr">
        <is>
          <t>نسبة الوفر</t>
        </is>
      </c>
      <c r="E10" s="14" t="inlineStr">
        <is>
          <t>98.7%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20" customWidth="1" min="3" max="3"/>
    <col width="46" customWidth="1" min="4" max="4"/>
  </cols>
  <sheetData>
    <row r="1" ht="24" customHeight="1">
      <c r="A1" s="1" t="inlineStr">
        <is>
          <t>كل ميزة في المنصة ← الخدمة التي تستهلكها ← تكلفتها السنوية</t>
        </is>
      </c>
    </row>
    <row r="3">
      <c r="A3" s="2" t="inlineStr">
        <is>
          <t>الميزة</t>
        </is>
      </c>
      <c r="B3" s="2" t="inlineStr">
        <is>
          <t>الخدمة</t>
        </is>
      </c>
      <c r="C3" s="2" t="inlineStr">
        <is>
          <t>التكلفة السنوية ($)</t>
        </is>
      </c>
      <c r="D3" s="2" t="inlineStr">
        <is>
          <t>ملاحظة</t>
        </is>
      </c>
    </row>
    <row r="4">
      <c r="A4" s="3" t="inlineStr">
        <is>
          <t>تسجيل الدخول / المصادقة / استرجاع كلمة المرور</t>
        </is>
      </c>
      <c r="B4" s="3" t="inlineStr">
        <is>
          <t>Supabase Auth</t>
        </is>
      </c>
      <c r="C4" s="12" t="n">
        <v>0</v>
      </c>
      <c r="D4" s="3" t="inlineStr">
        <is>
          <t>مجاني حتى 50 ألف مستخدم نشط</t>
        </is>
      </c>
    </row>
    <row r="5">
      <c r="A5" s="3" t="inlineStr">
        <is>
          <t>تصفّح الكورسات والوحدات والدروس</t>
        </is>
      </c>
      <c r="B5" s="3" t="inlineStr">
        <is>
          <t>Workers + D1</t>
        </is>
      </c>
      <c r="C5" s="12" t="n">
        <v>0</v>
      </c>
      <c r="D5" s="3" t="inlineStr">
        <is>
          <t>ضمن الباقة المدفوعة</t>
        </is>
      </c>
    </row>
    <row r="6">
      <c r="A6" s="3" t="inlineStr">
        <is>
          <t>البحث الداخلي (SQLite FTS5)</t>
        </is>
      </c>
      <c r="B6" s="3" t="inlineStr">
        <is>
          <t>D1</t>
        </is>
      </c>
      <c r="C6" s="12" t="n">
        <v>0</v>
      </c>
      <c r="D6" s="3" t="inlineStr">
        <is>
          <t>ضمن الباقة</t>
        </is>
      </c>
    </row>
    <row r="7">
      <c r="A7" s="3" t="inlineStr">
        <is>
          <t>أكواد التفعيل وإدارتها</t>
        </is>
      </c>
      <c r="B7" s="3" t="inlineStr">
        <is>
          <t>D1</t>
        </is>
      </c>
      <c r="C7" s="12" t="n">
        <v>0</v>
      </c>
      <c r="D7" s="3" t="inlineStr">
        <is>
          <t>ضمن الباقة</t>
        </is>
      </c>
    </row>
    <row r="8">
      <c r="A8" s="3" t="inlineStr">
        <is>
          <t>تتبّع التقدّم + نبضات المشاهدة (Heartbeat)</t>
        </is>
      </c>
      <c r="B8" s="3" t="inlineStr">
        <is>
          <t>Workers + D1</t>
        </is>
      </c>
      <c r="C8" s="12" t="n">
        <v>0</v>
      </c>
      <c r="D8" s="3" t="inlineStr">
        <is>
          <t>≈1.7M طلب/شهر — ضمن 10M</t>
        </is>
      </c>
    </row>
    <row r="9">
      <c r="A9" s="3" t="inlineStr">
        <is>
          <t>رفع الفيديو وترميزه (480p/720p/1080p)</t>
        </is>
      </c>
      <c r="B9" s="3" t="inlineStr">
        <is>
          <t>Bunny Stream</t>
        </is>
      </c>
      <c r="C9" s="12" t="n">
        <v>0</v>
      </c>
      <c r="D9" s="3" t="inlineStr">
        <is>
          <t>الترميز القياسي مجاني</t>
        </is>
      </c>
    </row>
    <row r="10">
      <c r="A10" s="3" t="inlineStr">
        <is>
          <t>نقل الشرائح وتشفيرها AES-128 إلى R2</t>
        </is>
      </c>
      <c r="B10" s="3" t="inlineStr">
        <is>
          <t>Queues + Workers + KV</t>
        </is>
      </c>
      <c r="C10" s="12" t="n">
        <v>0</v>
      </c>
      <c r="D10" s="3" t="inlineStr">
        <is>
          <t>ضمن المجاني</t>
        </is>
      </c>
    </row>
    <row r="11">
      <c r="A11" s="3" t="inlineStr">
        <is>
          <t>تخزين الفيديو وبثه HLS</t>
        </is>
      </c>
      <c r="B11" s="3" t="inlineStr">
        <is>
          <t>R2 (+ كاش الحافة)</t>
        </is>
      </c>
      <c r="C11" s="12" t="n">
        <v>127.8</v>
      </c>
      <c r="D11" s="3" t="inlineStr">
        <is>
          <t>البند الوحيد المؤثر</t>
        </is>
      </c>
    </row>
    <row r="12">
      <c r="A12" s="3" t="inlineStr">
        <is>
          <t>حماية الفيديو (علامة مائية، ربط جهاز، توكنات)</t>
        </is>
      </c>
      <c r="B12" s="3" t="inlineStr">
        <is>
          <t>Workers + KV + D1</t>
        </is>
      </c>
      <c r="C12" s="12" t="n">
        <v>0</v>
      </c>
      <c r="D12" s="3" t="inlineStr">
        <is>
          <t>ضمن الباقة</t>
        </is>
      </c>
    </row>
    <row r="13">
      <c r="A13" s="3" t="inlineStr">
        <is>
          <t>ملفات PDF والمرفقات</t>
        </is>
      </c>
      <c r="B13" s="3" t="inlineStr">
        <is>
          <t>R2</t>
        </is>
      </c>
      <c r="C13" s="12" t="n">
        <v>0</v>
      </c>
      <c r="D13" s="3" t="inlineStr">
        <is>
          <t>≈2GB/سنة</t>
        </is>
      </c>
    </row>
    <row r="14">
      <c r="A14" s="3" t="inlineStr">
        <is>
          <t>الأسئلة والإجابات والتقييمات</t>
        </is>
      </c>
      <c r="B14" s="3" t="inlineStr">
        <is>
          <t>D1</t>
        </is>
      </c>
      <c r="C14" s="12" t="n">
        <v>0</v>
      </c>
      <c r="D14" s="3" t="inlineStr">
        <is>
          <t>ضمن الباقة</t>
        </is>
      </c>
    </row>
    <row r="15">
      <c r="A15" s="3" t="inlineStr">
        <is>
          <t>الكويزات ونتائجها</t>
        </is>
      </c>
      <c r="B15" s="3" t="inlineStr">
        <is>
          <t>D1</t>
        </is>
      </c>
      <c r="C15" s="12" t="n">
        <v>0</v>
      </c>
      <c r="D15" s="3" t="inlineStr">
        <is>
          <t>ضمن الباقة</t>
        </is>
      </c>
    </row>
    <row r="16">
      <c r="A16" s="3" t="inlineStr">
        <is>
          <t>إشعارات Push (FCM)</t>
        </is>
      </c>
      <c r="B16" s="3" t="inlineStr">
        <is>
          <t>Queues + FCM</t>
        </is>
      </c>
      <c r="C16" s="12" t="n">
        <v>0</v>
      </c>
      <c r="D16" s="3" t="inlineStr">
        <is>
          <t>FCM مجاني — الطابور غير مفعّل حالياً</t>
        </is>
      </c>
    </row>
    <row r="17">
      <c r="A17" s="3" t="inlineStr">
        <is>
          <t>لوحة تحكم المدرس (الويب)</t>
        </is>
      </c>
      <c r="B17" s="3" t="inlineStr">
        <is>
          <t>Cloudflare Pages</t>
        </is>
      </c>
      <c r="C17" s="12" t="n">
        <v>0</v>
      </c>
      <c r="D17" s="3" t="inlineStr">
        <is>
          <t>مجاني</t>
        </is>
      </c>
    </row>
    <row r="18">
      <c r="A18" s="3" t="inlineStr">
        <is>
          <t>موقع الطلاب (الويب)</t>
        </is>
      </c>
      <c r="B18" s="3" t="inlineStr">
        <is>
          <t>Cloudflare Pages</t>
        </is>
      </c>
      <c r="C18" s="12" t="n">
        <v>0</v>
      </c>
      <c r="D18" s="3" t="inlineStr">
        <is>
          <t>مجاني</t>
        </is>
      </c>
    </row>
    <row r="19">
      <c r="A19" s="3" t="inlineStr">
        <is>
          <t>تحليلات وإحصائيات</t>
        </is>
      </c>
      <c r="B19" s="3" t="inlineStr">
        <is>
          <t>D1</t>
        </is>
      </c>
      <c r="C19" s="12" t="n">
        <v>0</v>
      </c>
      <c r="D19" s="3" t="inlineStr">
        <is>
          <t>ضمن الباقة</t>
        </is>
      </c>
    </row>
    <row r="20">
      <c r="A20" s="3" t="inlineStr">
        <is>
          <t>البنية والـ API</t>
        </is>
      </c>
      <c r="B20" s="3" t="inlineStr">
        <is>
          <t>Cloudflare Workers (Paid)</t>
        </is>
      </c>
      <c r="C20" s="12" t="n">
        <v>60</v>
      </c>
      <c r="D20" s="3" t="inlineStr">
        <is>
          <t>5$/شهر</t>
        </is>
      </c>
    </row>
    <row r="21">
      <c r="A21" s="3" t="inlineStr">
        <is>
          <t>سحب الشرائح من Bunny</t>
        </is>
      </c>
      <c r="B21" s="3" t="inlineStr">
        <is>
          <t>Bunny Stream</t>
        </is>
      </c>
      <c r="C21" s="12" t="n">
        <v>16.56</v>
      </c>
      <c r="D21" s="3" t="inlineStr">
        <is>
          <t>≈1.5TB/سنة بـ 0.01$/GB</t>
        </is>
      </c>
    </row>
    <row r="22">
      <c r="A22" s="3" t="inlineStr">
        <is>
          <t>النطاق</t>
        </is>
      </c>
      <c r="B22" s="3" t="inlineStr">
        <is>
          <t>Domain</t>
        </is>
      </c>
      <c r="C22" s="12" t="n">
        <v>15</v>
      </c>
      <c r="D22" s="3" t="inlineStr">
        <is>
          <t>تجديد سنوي</t>
        </is>
      </c>
    </row>
    <row r="23">
      <c r="A23" s="3" t="inlineStr">
        <is>
          <t>تطبيق أندرويد</t>
        </is>
      </c>
      <c r="B23" s="3" t="inlineStr">
        <is>
          <t>Google Play</t>
        </is>
      </c>
      <c r="C23" s="12" t="n">
        <v>25</v>
      </c>
      <c r="D23" s="3" t="inlineStr">
        <is>
          <t>مرة واحدة</t>
        </is>
      </c>
    </row>
    <row r="24">
      <c r="A24" s="8" t="inlineStr">
        <is>
          <t>الإجمالي</t>
        </is>
      </c>
      <c r="C24" s="13">
        <f>SUM(C4:C23)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 ht="24" customHeight="1">
      <c r="A1" s="1" t="inlineStr">
        <is>
          <t>سيناريو بديل: MongoDB بدل D1 + تخزين Bunny بـ $0.055/GB (100 جيجا/شهر)</t>
        </is>
      </c>
    </row>
    <row r="3">
      <c r="A3" s="2" t="inlineStr">
        <is>
          <t>السيناريو</t>
        </is>
      </c>
      <c r="B3" s="2" t="inlineStr">
        <is>
          <t>قاعدة البيانات</t>
        </is>
      </c>
      <c r="C3" s="2" t="inlineStr">
        <is>
          <t>تخزين الفيديو</t>
        </is>
      </c>
      <c r="D3" s="2" t="inlineStr">
        <is>
          <t>توصيل/سحب</t>
        </is>
      </c>
      <c r="E3" s="2" t="inlineStr">
        <is>
          <t>خدمات ثابتة</t>
        </is>
      </c>
      <c r="F3" s="2" t="inlineStr">
        <is>
          <t>الإجمالي/سنة ($)</t>
        </is>
      </c>
      <c r="G3" s="2" t="inlineStr">
        <is>
          <t>الفرق عن التصميم الحالي</t>
        </is>
      </c>
    </row>
    <row r="4">
      <c r="A4" s="3" t="inlineStr">
        <is>
          <t>التصميم الحالي (D1 + R2)</t>
        </is>
      </c>
      <c r="B4" s="3" t="inlineStr">
        <is>
          <t>D1 — $0</t>
        </is>
      </c>
      <c r="C4" s="3" t="inlineStr">
        <is>
          <t>R2 — 127.80</t>
        </is>
      </c>
      <c r="D4" s="3" t="inlineStr">
        <is>
          <t>سحب Bunny — 15.12</t>
        </is>
      </c>
      <c r="E4" s="3" t="inlineStr">
        <is>
          <t>100.00</t>
        </is>
      </c>
      <c r="F4" s="15" t="n">
        <v>244.36</v>
      </c>
      <c r="G4" s="3" t="inlineStr">
        <is>
          <t>المرجع</t>
        </is>
      </c>
    </row>
    <row r="5">
      <c r="A5" s="3" t="inlineStr">
        <is>
          <t>B1: MongoDB Flex + نفس الكود (نقل لـ R2)</t>
        </is>
      </c>
      <c r="B5" s="3" t="inlineStr">
        <is>
          <t>Flex — 144.00</t>
        </is>
      </c>
      <c r="C5" s="3" t="inlineStr">
        <is>
          <t>Bunny 66.00 + R2 127.80</t>
        </is>
      </c>
      <c r="D5" s="3" t="inlineStr">
        <is>
          <t>15.12</t>
        </is>
      </c>
      <c r="E5" s="3" t="inlineStr">
        <is>
          <t>100.00</t>
        </is>
      </c>
      <c r="F5" s="15" t="n">
        <v>452.92</v>
      </c>
      <c r="G5" s="3" t="inlineStr">
        <is>
          <t>+209 $ (+85%)</t>
        </is>
      </c>
    </row>
    <row r="6">
      <c r="A6" s="3" t="inlineStr">
        <is>
          <t>B2: MongoDB M10 + نفس الكود (نقل لـ R2)</t>
        </is>
      </c>
      <c r="B6" s="3" t="inlineStr">
        <is>
          <t>M10 — 900.00</t>
        </is>
      </c>
      <c r="C6" s="3" t="inlineStr">
        <is>
          <t>Bunny 66.00 + R2 127.80</t>
        </is>
      </c>
      <c r="D6" s="3" t="inlineStr">
        <is>
          <t>15.12</t>
        </is>
      </c>
      <c r="E6" s="3" t="inlineStr">
        <is>
          <t>100.00</t>
        </is>
      </c>
      <c r="F6" s="15" t="n">
        <v>1208.92</v>
      </c>
      <c r="G6" s="16" t="inlineStr">
        <is>
          <t>+965 $ (+395%)</t>
        </is>
      </c>
    </row>
    <row r="7">
      <c r="A7" s="3" t="inlineStr">
        <is>
          <t>B3: MongoDB Flex + كل الفيديو على Bunny (Volume 0.005$/GB)</t>
        </is>
      </c>
      <c r="B7" s="3" t="inlineStr">
        <is>
          <t>Flex — 144.00</t>
        </is>
      </c>
      <c r="C7" s="3" t="inlineStr">
        <is>
          <t>Bunny كامل — 429.0</t>
        </is>
      </c>
      <c r="D7" s="3" t="inlineStr">
        <is>
          <t>1620.0</t>
        </is>
      </c>
      <c r="E7" s="3" t="inlineStr">
        <is>
          <t>100.00</t>
        </is>
      </c>
      <c r="F7" s="15" t="n">
        <v>2293</v>
      </c>
      <c r="G7" s="16" t="inlineStr">
        <is>
          <t>+2,049 $ (+838%)</t>
        </is>
      </c>
    </row>
    <row r="8">
      <c r="A8" s="3" t="inlineStr">
        <is>
          <t>B4: MongoDB M10 + كل الفيديو على Bunny (الشرق الأوسط 0.06$/GB)</t>
        </is>
      </c>
      <c r="B8" s="3" t="inlineStr">
        <is>
          <t>M10 — 900.00</t>
        </is>
      </c>
      <c r="C8" s="3" t="inlineStr">
        <is>
          <t>Bunny كامل — 429.0</t>
        </is>
      </c>
      <c r="D8" s="3" t="inlineStr">
        <is>
          <t>19440.0</t>
        </is>
      </c>
      <c r="E8" s="3" t="inlineStr">
        <is>
          <t>100.00</t>
        </is>
      </c>
      <c r="F8" s="15" t="n">
        <v>20869</v>
      </c>
      <c r="G8" s="16" t="inlineStr">
        <is>
          <t>+20,625 $ (+8440%)</t>
        </is>
      </c>
    </row>
    <row r="11">
      <c r="A11" s="5" t="inlineStr">
        <is>
          <t>أسعار MongoDB Atlas (2026)</t>
        </is>
      </c>
    </row>
    <row r="12">
      <c r="A12" s="2" t="inlineStr">
        <is>
          <t>الطبقة</t>
        </is>
      </c>
      <c r="B12" s="2" t="inlineStr">
        <is>
          <t>السعر/شهر</t>
        </is>
      </c>
      <c r="C12" s="2" t="inlineStr">
        <is>
          <t>التخزين</t>
        </is>
      </c>
      <c r="D12" s="2" t="inlineStr">
        <is>
          <t>الحد الأقصى</t>
        </is>
      </c>
      <c r="E12" s="2" t="inlineStr">
        <is>
          <t>ملاحظة</t>
        </is>
      </c>
      <c r="F12" s="2" t="inlineStr"/>
      <c r="G12" s="2" t="inlineStr"/>
    </row>
    <row r="13">
      <c r="A13" s="3" t="inlineStr">
        <is>
          <t>M0 (مجاني)</t>
        </is>
      </c>
      <c r="B13" s="3" t="inlineStr">
        <is>
          <t>$0</t>
        </is>
      </c>
      <c r="C13" s="3" t="inlineStr">
        <is>
          <t>512 MB</t>
        </is>
      </c>
      <c r="D13" s="3" t="inlineStr">
        <is>
          <t>~100 عملية/ثانية</t>
        </is>
      </c>
      <c r="E13" s="3" t="inlineStr">
        <is>
          <t>بدون نسخ احتياطي — مش هتكفي بعد شهرين</t>
        </is>
      </c>
    </row>
    <row r="14">
      <c r="A14" s="3" t="inlineStr">
        <is>
          <t>Flex</t>
        </is>
      </c>
      <c r="B14" s="3" t="inlineStr">
        <is>
          <t>$8 → $30 (سقف)</t>
        </is>
      </c>
      <c r="C14" s="3" t="inlineStr">
        <is>
          <t>5 GB</t>
        </is>
      </c>
      <c r="D14" s="3" t="inlineStr">
        <is>
          <t>~500 عملية/ثانية</t>
        </is>
      </c>
      <c r="E14" s="3" t="inlineStr">
        <is>
          <t>مناسبة للحمولة الحالية (≈0.7 طلب/ثانية)</t>
        </is>
      </c>
    </row>
    <row r="15">
      <c r="A15" s="3" t="inlineStr">
        <is>
          <t>M10 (مخصّص)</t>
        </is>
      </c>
      <c r="B15" s="3" t="inlineStr">
        <is>
          <t>$58.4 + تخزين/نسخ ≈ $75-85</t>
        </is>
      </c>
      <c r="C15" s="3" t="inlineStr">
        <is>
          <t>10-128 GB</t>
        </is>
      </c>
      <c r="D15" s="3" t="inlineStr">
        <is>
          <t>1,500 اتصال</t>
        </is>
      </c>
      <c r="E15" s="3" t="inlineStr">
        <is>
          <t>إنتاج حقيقي + PITR + Atlas Search</t>
        </is>
      </c>
    </row>
    <row r="16">
      <c r="A16" s="3" t="inlineStr">
        <is>
          <t>M20</t>
        </is>
      </c>
      <c r="B16" s="3" t="inlineStr">
        <is>
          <t>≈ $146</t>
        </is>
      </c>
      <c r="C16" s="3" t="inlineStr">
        <is>
          <t>20 GB+</t>
        </is>
      </c>
      <c r="D16" s="3" t="inlineStr">
        <is>
          <t>—</t>
        </is>
      </c>
      <c r="E16" s="3" t="inlineStr">
        <is>
          <t>مبالغة في حالتنا</t>
        </is>
      </c>
    </row>
    <row r="18">
      <c r="A18" s="17" t="inlineStr">
        <is>
          <t>ملاحظة معمارية: Cloudflare Workers تقدر تتصل بـ MongoDB بالدريفر الرسمي (node:net + node:tls مدعومين من 2025)، لكن Atlas Data API مُلغاة، ومفيش Hyperdrive لـ Mongo.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40" customWidth="1" min="3" max="3"/>
    <col width="18" customWidth="1" min="4" max="4"/>
    <col width="34" customWidth="1" min="5" max="5"/>
  </cols>
  <sheetData>
    <row r="1" ht="24" customHeight="1">
      <c r="A1" s="1" t="inlineStr">
        <is>
          <t>تفاصيل سيناريو B1: MongoDB Flex + نفس الكود (ترميز Bunny ← نقل لـ R2)</t>
        </is>
      </c>
    </row>
    <row r="3">
      <c r="A3" s="2" t="inlineStr">
        <is>
          <t>البند</t>
        </is>
      </c>
      <c r="B3" s="2" t="inlineStr">
        <is>
          <t>وحدة التسعير</t>
        </is>
      </c>
      <c r="C3" s="2" t="inlineStr">
        <is>
          <t>الاستهلاك السنوي المتوقع</t>
        </is>
      </c>
      <c r="D3" s="2" t="inlineStr">
        <is>
          <t>التكلفة/سنة ($)</t>
        </is>
      </c>
      <c r="E3" s="2" t="inlineStr">
        <is>
          <t>ملاحظة</t>
        </is>
      </c>
    </row>
    <row r="4">
      <c r="A4" s="3" t="inlineStr">
        <is>
          <t>Cloudflare Workers — الباقة المدفوعة</t>
        </is>
      </c>
      <c r="B4" s="3" t="inlineStr">
        <is>
          <t>5$/شهر (10M طلب + 30M CPU-ms)</t>
        </is>
      </c>
      <c r="C4" s="3" t="inlineStr">
        <is>
          <t>1.74M طلب/شهر</t>
        </is>
      </c>
      <c r="D4" s="7" t="n">
        <v>60</v>
      </c>
      <c r="E4" s="3" t="inlineStr"/>
    </row>
    <row r="5">
      <c r="A5" s="3" t="inlineStr">
        <is>
          <t>MongoDB Atlas Flex — قاعدة البيانات بدل D1</t>
        </is>
      </c>
      <c r="B5" s="3" t="inlineStr">
        <is>
          <t>8$ أساس (حتى 100 عملية/ثانية) — سقف صلب 30$</t>
        </is>
      </c>
      <c r="C5" s="3" t="inlineStr">
        <is>
          <t>≈2-3 عملية/ثانية، ذروة في مواسم الامتحانات</t>
        </is>
      </c>
      <c r="D5" s="7" t="n">
        <v>144</v>
      </c>
      <c r="E5" s="3" t="inlineStr">
        <is>
          <t>بديل عن D1 (كانت $0)</t>
        </is>
      </c>
    </row>
    <row r="6">
      <c r="A6" s="3" t="inlineStr">
        <is>
          <t>Atlas Flex — التخزين</t>
        </is>
      </c>
      <c r="B6" s="3" t="inlineStr">
        <is>
          <t>5 GB مشمولة</t>
        </is>
      </c>
      <c r="C6" s="3" t="inlineStr">
        <is>
          <t>حجم البيانات المتوقع سنة 1 ≈ 0.5-1 GB</t>
        </is>
      </c>
      <c r="D6" s="7" t="n">
        <v>0</v>
      </c>
      <c r="E6" s="3" t="inlineStr"/>
    </row>
    <row r="7">
      <c r="A7" s="3" t="inlineStr">
        <is>
          <t>Atlas Flex — نقل البيانات (Egress)</t>
        </is>
      </c>
      <c r="B7" s="3" t="inlineStr">
        <is>
          <t>غير محدود ومجاني على Flex</t>
        </is>
      </c>
      <c r="C7" s="3" t="inlineStr">
        <is>
          <t>≈3 GB/شهر</t>
        </is>
      </c>
      <c r="D7" s="7" t="n">
        <v>0</v>
      </c>
      <c r="E7" s="3" t="inlineStr"/>
    </row>
    <row r="8">
      <c r="A8" s="3" t="inlineStr">
        <is>
          <t>Cloudflare R2 — تخزين شرائح الفيديو</t>
        </is>
      </c>
      <c r="B8" s="3" t="inlineStr">
        <is>
          <t>0.015$/GB-شهر</t>
        </is>
      </c>
      <c r="C8" s="3" t="inlineStr">
        <is>
          <t>8,640 GB-شهر − 120 GB مجانية</t>
        </is>
      </c>
      <c r="D8" s="7" t="n">
        <v>127.8</v>
      </c>
      <c r="E8" s="3" t="inlineStr"/>
    </row>
    <row r="9">
      <c r="A9" s="3" t="inlineStr">
        <is>
          <t>Cloudflare R2 — عمليات Class A (كتابة)</t>
        </is>
      </c>
      <c r="B9" s="3" t="inlineStr">
        <is>
          <t>4.50$/مليون</t>
        </is>
      </c>
      <c r="C9" s="3" t="inlineStr">
        <is>
          <t>1.1M كائن/سنة (~92k/شهر) — ضمن 1M مجاناً</t>
        </is>
      </c>
      <c r="D9" s="7" t="n">
        <v>0</v>
      </c>
      <c r="E9" s="3" t="inlineStr"/>
    </row>
    <row r="10">
      <c r="A10" s="3" t="inlineStr">
        <is>
          <t>Cloudflare R2 — عمليات Class B (قراءة)</t>
        </is>
      </c>
      <c r="B10" s="3" t="inlineStr">
        <is>
          <t>0.36$/مليون</t>
        </is>
      </c>
      <c r="C10" s="3" t="inlineStr">
        <is>
          <t>17.3M قراءة/شهر، 15% بيفوت الكاش — ضمن 10M</t>
        </is>
      </c>
      <c r="D10" s="7" t="n">
        <v>0</v>
      </c>
      <c r="E10" s="3" t="inlineStr"/>
    </row>
    <row r="11">
      <c r="A11" s="3" t="inlineStr">
        <is>
          <t>Cloudflare R2 — الخارج (توصيل الطلاب)</t>
        </is>
      </c>
      <c r="B11" s="3" t="inlineStr">
        <is>
          <t>مجاني تماماً</t>
        </is>
      </c>
      <c r="C11" s="3" t="inlineStr">
        <is>
          <t>324 TB/سنة</t>
        </is>
      </c>
      <c r="D11" s="7" t="n">
        <v>0</v>
      </c>
      <c r="E11" s="3" t="inlineStr"/>
    </row>
    <row r="12">
      <c r="A12" s="3" t="inlineStr">
        <is>
          <t>Bunny Stream — الترميز القياسي</t>
        </is>
      </c>
      <c r="B12" s="3" t="inlineStr">
        <is>
          <t>مجاني حتى 1080p</t>
        </is>
      </c>
      <c r="C12" s="3" t="inlineStr">
        <is>
          <t>23,040 دقيقة/سنة</t>
        </is>
      </c>
      <c r="D12" s="7" t="n">
        <v>0</v>
      </c>
      <c r="E12" s="3" t="inlineStr"/>
    </row>
    <row r="13">
      <c r="A13" s="3" t="inlineStr">
        <is>
          <t>Bunny Stream — التخزين</t>
        </is>
      </c>
      <c r="B13" s="3" t="inlineStr">
        <is>
          <t>0.055$/GB-شهر</t>
        </is>
      </c>
      <c r="C13" s="3" t="inlineStr">
        <is>
          <t>100 GB مقيم/شهر</t>
        </is>
      </c>
      <c r="D13" s="7" t="n">
        <v>66</v>
      </c>
      <c r="E13" s="3" t="inlineStr"/>
    </row>
    <row r="14">
      <c r="A14" s="3" t="inlineStr">
        <is>
          <t>Bunny Stream — سحب الشرائح للـ Worker</t>
        </is>
      </c>
      <c r="B14" s="3" t="inlineStr">
        <is>
          <t>0.010$/GB (أوروبا/أمريكا)</t>
        </is>
      </c>
      <c r="C14" s="3" t="inlineStr">
        <is>
          <t>1,512 GB/سنة</t>
        </is>
      </c>
      <c r="D14" s="7" t="n">
        <v>15.12</v>
      </c>
      <c r="E14" s="3" t="inlineStr"/>
    </row>
    <row r="15">
      <c r="A15" s="3" t="inlineStr">
        <is>
          <t>Cloudflare Queues</t>
        </is>
      </c>
      <c r="B15" s="3" t="inlineStr">
        <is>
          <t>0.40$/مليون بعد 1M</t>
        </is>
      </c>
      <c r="C15" s="3" t="inlineStr">
        <is>
          <t>≈1M عملية/سنة</t>
        </is>
      </c>
      <c r="D15" s="7" t="n">
        <v>0</v>
      </c>
      <c r="E15" s="3" t="inlineStr"/>
    </row>
    <row r="16">
      <c r="A16" s="3" t="inlineStr">
        <is>
          <t>Cloudflare KV</t>
        </is>
      </c>
      <c r="B16" s="3" t="inlineStr">
        <is>
          <t>مفاتيح التشفير + تتبّع النقل</t>
        </is>
      </c>
      <c r="C16" s="3" t="inlineStr">
        <is>
          <t>≈20k كتابة/سنة</t>
        </is>
      </c>
      <c r="D16" s="7" t="n">
        <v>0</v>
      </c>
      <c r="E16" s="3" t="inlineStr"/>
    </row>
    <row r="17">
      <c r="A17" s="3" t="inlineStr">
        <is>
          <t>Cloudflare Pages</t>
        </is>
      </c>
      <c r="B17" s="3" t="inlineStr">
        <is>
          <t>لوحة المدرس + ويب الطلاب</t>
        </is>
      </c>
      <c r="C17" s="3" t="inlineStr">
        <is>
          <t>طلبات غير محدودة</t>
        </is>
      </c>
      <c r="D17" s="7" t="n">
        <v>0</v>
      </c>
      <c r="E17" s="3" t="inlineStr"/>
    </row>
    <row r="18">
      <c r="A18" s="3" t="inlineStr">
        <is>
          <t>Cloudflare Images</t>
        </is>
      </c>
      <c r="B18" s="3" t="inlineStr">
        <is>
          <t>5,000 تحويلة مجاناً/شهر</t>
        </is>
      </c>
      <c r="C18" s="3" t="inlineStr">
        <is>
          <t>&lt;1,000 تحويلة/شهر</t>
        </is>
      </c>
      <c r="D18" s="7" t="n">
        <v>0</v>
      </c>
      <c r="E18" s="3" t="inlineStr"/>
    </row>
    <row r="19">
      <c r="A19" s="3" t="inlineStr">
        <is>
          <t>Supabase Auth</t>
        </is>
      </c>
      <c r="B19" s="3" t="inlineStr">
        <is>
          <t>مجاني حتى 50 ألف MAU</t>
        </is>
      </c>
      <c r="C19" s="3" t="inlineStr">
        <is>
          <t>2,000 طالب</t>
        </is>
      </c>
      <c r="D19" s="7" t="n">
        <v>0</v>
      </c>
      <c r="E19" s="3" t="inlineStr"/>
    </row>
    <row r="20">
      <c r="A20" s="3" t="inlineStr">
        <is>
          <t>Firebase Cloud Messaging</t>
        </is>
      </c>
      <c r="B20" s="3" t="inlineStr">
        <is>
          <t>مجاني</t>
        </is>
      </c>
      <c r="C20" s="3" t="inlineStr">
        <is>
          <t>≈50 إشعار/طالب/سنة</t>
        </is>
      </c>
      <c r="D20" s="7" t="n">
        <v>0</v>
      </c>
      <c r="E20" s="3" t="inlineStr"/>
    </row>
    <row r="21">
      <c r="A21" s="3" t="inlineStr">
        <is>
          <t>تجديد النطاق</t>
        </is>
      </c>
      <c r="B21" s="3" t="inlineStr">
        <is>
          <t>نطاق واحد + ساب دومينات</t>
        </is>
      </c>
      <c r="C21" s="3" t="inlineStr">
        <is>
          <t>—</t>
        </is>
      </c>
      <c r="D21" s="7" t="n">
        <v>15</v>
      </c>
      <c r="E21" s="3" t="inlineStr"/>
    </row>
    <row r="22">
      <c r="A22" s="3" t="inlineStr">
        <is>
          <t>حساب Google Play</t>
        </is>
      </c>
      <c r="B22" s="3" t="inlineStr">
        <is>
          <t>مرة واحدة — السنة الأولى</t>
        </is>
      </c>
      <c r="C22" s="3" t="inlineStr">
        <is>
          <t>—</t>
        </is>
      </c>
      <c r="D22" s="7" t="n">
        <v>25</v>
      </c>
      <c r="E22" s="3" t="inlineStr"/>
    </row>
    <row r="23">
      <c r="A23" s="8" t="inlineStr">
        <is>
          <t>الإجمالي — السنة الأولى</t>
        </is>
      </c>
      <c r="D23" s="9">
        <f>SUM(D4:D22)</f>
        <v/>
      </c>
    </row>
    <row r="24">
      <c r="A24" s="8" t="inlineStr">
        <is>
          <t>الإجمالي — السنوات التالية</t>
        </is>
      </c>
      <c r="D24" s="13">
        <f>D23-25</f>
        <v/>
      </c>
    </row>
    <row r="25">
      <c r="A25" s="8" t="inlineStr">
        <is>
          <t>المتوسط الشهري (السنة الأولى)</t>
        </is>
      </c>
      <c r="D25" s="10">
        <f>D23/12</f>
        <v/>
      </c>
    </row>
    <row r="26">
      <c r="A26" s="8" t="inlineStr">
        <is>
          <t>تكلفة الطالب / سنة</t>
        </is>
      </c>
      <c r="D26" s="11">
        <f>D23/2000</f>
        <v/>
      </c>
    </row>
    <row r="29">
      <c r="A29" s="5" t="inlineStr">
        <is>
          <t>حساسية سعر MongoDB Atlas Flex</t>
        </is>
      </c>
    </row>
    <row r="30">
      <c r="A30" s="2" t="inlineStr">
        <is>
          <t>الحالة</t>
        </is>
      </c>
      <c r="B30" s="2" t="inlineStr">
        <is>
          <t>سعر Flex/شهر</t>
        </is>
      </c>
      <c r="C30" s="2" t="inlineStr">
        <is>
          <t>التكلفة/سنة ($)</t>
        </is>
      </c>
      <c r="D30" s="2" t="inlineStr">
        <is>
          <t>إجمالي B1/سنة ($)</t>
        </is>
      </c>
      <c r="E30" s="2" t="inlineStr">
        <is>
          <t>ملاحظة</t>
        </is>
      </c>
    </row>
    <row r="31">
      <c r="A31" s="3" t="inlineStr">
        <is>
          <t>متفائل — تحت 100 عملية/ثانية طول الوقت</t>
        </is>
      </c>
      <c r="B31" s="3" t="n">
        <v>8</v>
      </c>
      <c r="C31" s="3" t="n">
        <v>96</v>
      </c>
      <c r="D31" s="18" t="n">
        <v>404.92</v>
      </c>
      <c r="E31" s="3" t="inlineStr">
        <is>
          <t>الحد الأدنى الفعلي لـ Flex</t>
        </is>
      </c>
    </row>
    <row r="32">
      <c r="A32" s="3" t="inlineStr">
        <is>
          <t>الأساس — ذروات موسمية تدخل شريحة 100-200</t>
        </is>
      </c>
      <c r="B32" s="3" t="n">
        <v>12</v>
      </c>
      <c r="C32" s="3" t="n">
        <v>144</v>
      </c>
      <c r="D32" s="18" t="n">
        <v>452.92</v>
      </c>
      <c r="E32" s="3" t="inlineStr">
        <is>
          <t>الفرضية المعتمدة في الجدول أعلاه</t>
        </is>
      </c>
    </row>
    <row r="33">
      <c r="A33" s="3" t="inlineStr">
        <is>
          <t>السقف — 400-500 عملية/ثانية</t>
        </is>
      </c>
      <c r="B33" s="3" t="n">
        <v>30</v>
      </c>
      <c r="C33" s="3" t="n">
        <v>360</v>
      </c>
      <c r="D33" s="18" t="n">
        <v>668.92</v>
      </c>
      <c r="E33" s="3" t="inlineStr">
        <is>
          <t>سقف صلب: Flex لا يمكن أن يتجاوز 30$/شهر أبداً</t>
        </is>
      </c>
    </row>
    <row r="36">
      <c r="A36" s="5" t="inlineStr">
        <is>
          <t>التدفق الشهري لسيناريو B1 (السنة الأولى)</t>
        </is>
      </c>
    </row>
    <row r="37">
      <c r="A37" s="2" t="inlineStr">
        <is>
          <t>الشهر</t>
        </is>
      </c>
      <c r="B37" s="2" t="inlineStr">
        <is>
          <t>Workers</t>
        </is>
      </c>
      <c r="C37" s="2" t="inlineStr">
        <is>
          <t>MongoDB Flex</t>
        </is>
      </c>
      <c r="D37" s="2" t="inlineStr">
        <is>
          <t>Bunny</t>
        </is>
      </c>
      <c r="E37" s="2" t="inlineStr">
        <is>
          <t>تخزين R2</t>
        </is>
      </c>
      <c r="F37" s="2" t="inlineStr">
        <is>
          <t>نطاق</t>
        </is>
      </c>
      <c r="G37" s="2" t="inlineStr">
        <is>
          <t>إجمالي الشهر</t>
        </is>
      </c>
    </row>
    <row r="38">
      <c r="A38" s="3" t="inlineStr">
        <is>
          <t>شهر 1</t>
        </is>
      </c>
      <c r="B38" s="12" t="n">
        <v>5</v>
      </c>
      <c r="C38" s="12" t="n">
        <v>12</v>
      </c>
      <c r="D38" s="12" t="n">
        <v>6.76</v>
      </c>
      <c r="E38" s="12" t="n">
        <v>0.75</v>
      </c>
      <c r="F38" s="12" t="n">
        <v>1.25</v>
      </c>
      <c r="G38" s="7">
        <f>SUM(B38:F38)</f>
        <v/>
      </c>
    </row>
    <row r="39">
      <c r="A39" s="3" t="inlineStr">
        <is>
          <t>شهر 2</t>
        </is>
      </c>
      <c r="B39" s="12" t="n">
        <v>5</v>
      </c>
      <c r="C39" s="12" t="n">
        <v>12</v>
      </c>
      <c r="D39" s="12" t="n">
        <v>6.76</v>
      </c>
      <c r="E39" s="12" t="n">
        <v>2.55</v>
      </c>
      <c r="F39" s="12" t="n">
        <v>1.25</v>
      </c>
      <c r="G39" s="7">
        <f>SUM(B39:F39)</f>
        <v/>
      </c>
    </row>
    <row r="40">
      <c r="A40" s="3" t="inlineStr">
        <is>
          <t>شهر 3</t>
        </is>
      </c>
      <c r="B40" s="12" t="n">
        <v>5</v>
      </c>
      <c r="C40" s="12" t="n">
        <v>12</v>
      </c>
      <c r="D40" s="12" t="n">
        <v>6.76</v>
      </c>
      <c r="E40" s="12" t="n">
        <v>4.35</v>
      </c>
      <c r="F40" s="12" t="n">
        <v>1.25</v>
      </c>
      <c r="G40" s="7">
        <f>SUM(B40:F40)</f>
        <v/>
      </c>
    </row>
    <row r="41">
      <c r="A41" s="3" t="inlineStr">
        <is>
          <t>شهر 4</t>
        </is>
      </c>
      <c r="B41" s="12" t="n">
        <v>5</v>
      </c>
      <c r="C41" s="12" t="n">
        <v>12</v>
      </c>
      <c r="D41" s="12" t="n">
        <v>6.76</v>
      </c>
      <c r="E41" s="12" t="n">
        <v>6.15</v>
      </c>
      <c r="F41" s="12" t="n">
        <v>1.25</v>
      </c>
      <c r="G41" s="7">
        <f>SUM(B41:F41)</f>
        <v/>
      </c>
    </row>
    <row r="42">
      <c r="A42" s="3" t="inlineStr">
        <is>
          <t>شهر 5</t>
        </is>
      </c>
      <c r="B42" s="12" t="n">
        <v>5</v>
      </c>
      <c r="C42" s="12" t="n">
        <v>12</v>
      </c>
      <c r="D42" s="12" t="n">
        <v>6.76</v>
      </c>
      <c r="E42" s="12" t="n">
        <v>7.95</v>
      </c>
      <c r="F42" s="12" t="n">
        <v>1.25</v>
      </c>
      <c r="G42" s="7">
        <f>SUM(B42:F42)</f>
        <v/>
      </c>
    </row>
    <row r="43">
      <c r="A43" s="3" t="inlineStr">
        <is>
          <t>شهر 6</t>
        </is>
      </c>
      <c r="B43" s="12" t="n">
        <v>5</v>
      </c>
      <c r="C43" s="12" t="n">
        <v>12</v>
      </c>
      <c r="D43" s="12" t="n">
        <v>6.76</v>
      </c>
      <c r="E43" s="12" t="n">
        <v>9.75</v>
      </c>
      <c r="F43" s="12" t="n">
        <v>1.25</v>
      </c>
      <c r="G43" s="7">
        <f>SUM(B43:F43)</f>
        <v/>
      </c>
    </row>
    <row r="44">
      <c r="A44" s="3" t="inlineStr">
        <is>
          <t>شهر 7</t>
        </is>
      </c>
      <c r="B44" s="12" t="n">
        <v>5</v>
      </c>
      <c r="C44" s="12" t="n">
        <v>12</v>
      </c>
      <c r="D44" s="12" t="n">
        <v>6.76</v>
      </c>
      <c r="E44" s="12" t="n">
        <v>11.55</v>
      </c>
      <c r="F44" s="12" t="n">
        <v>1.25</v>
      </c>
      <c r="G44" s="7">
        <f>SUM(B44:F44)</f>
        <v/>
      </c>
    </row>
    <row r="45">
      <c r="A45" s="3" t="inlineStr">
        <is>
          <t>شهر 8</t>
        </is>
      </c>
      <c r="B45" s="12" t="n">
        <v>5</v>
      </c>
      <c r="C45" s="12" t="n">
        <v>12</v>
      </c>
      <c r="D45" s="12" t="n">
        <v>6.76</v>
      </c>
      <c r="E45" s="12" t="n">
        <v>13.35</v>
      </c>
      <c r="F45" s="12" t="n">
        <v>1.25</v>
      </c>
      <c r="G45" s="7">
        <f>SUM(B45:F45)</f>
        <v/>
      </c>
    </row>
    <row r="46">
      <c r="A46" s="3" t="inlineStr">
        <is>
          <t>شهر 9</t>
        </is>
      </c>
      <c r="B46" s="12" t="n">
        <v>5</v>
      </c>
      <c r="C46" s="12" t="n">
        <v>12</v>
      </c>
      <c r="D46" s="12" t="n">
        <v>6.76</v>
      </c>
      <c r="E46" s="12" t="n">
        <v>15.15</v>
      </c>
      <c r="F46" s="12" t="n">
        <v>1.25</v>
      </c>
      <c r="G46" s="7">
        <f>SUM(B46:F46)</f>
        <v/>
      </c>
    </row>
    <row r="47">
      <c r="A47" s="3" t="inlineStr">
        <is>
          <t>شهر 10</t>
        </is>
      </c>
      <c r="B47" s="12" t="n">
        <v>5</v>
      </c>
      <c r="C47" s="12" t="n">
        <v>12</v>
      </c>
      <c r="D47" s="12" t="n">
        <v>6.76</v>
      </c>
      <c r="E47" s="12" t="n">
        <v>16.95</v>
      </c>
      <c r="F47" s="12" t="n">
        <v>1.25</v>
      </c>
      <c r="G47" s="7">
        <f>SUM(B47:F47)</f>
        <v/>
      </c>
    </row>
    <row r="48">
      <c r="A48" s="3" t="inlineStr">
        <is>
          <t>شهر 11</t>
        </is>
      </c>
      <c r="B48" s="12" t="n">
        <v>5</v>
      </c>
      <c r="C48" s="12" t="n">
        <v>12</v>
      </c>
      <c r="D48" s="12" t="n">
        <v>6.76</v>
      </c>
      <c r="E48" s="12" t="n">
        <v>18.75</v>
      </c>
      <c r="F48" s="12" t="n">
        <v>1.25</v>
      </c>
      <c r="G48" s="7">
        <f>SUM(B48:F48)</f>
        <v/>
      </c>
    </row>
    <row r="49">
      <c r="A49" s="3" t="inlineStr">
        <is>
          <t>شهر 12</t>
        </is>
      </c>
      <c r="B49" s="12" t="n">
        <v>5</v>
      </c>
      <c r="C49" s="12" t="n">
        <v>12</v>
      </c>
      <c r="D49" s="12" t="n">
        <v>6.76</v>
      </c>
      <c r="E49" s="12" t="n">
        <v>20.55</v>
      </c>
      <c r="F49" s="12" t="n">
        <v>1.25</v>
      </c>
      <c r="G49" s="7">
        <f>SUM(B49:F49)</f>
        <v/>
      </c>
    </row>
    <row r="50">
      <c r="A50" s="8" t="inlineStr">
        <is>
          <t>الإجمالي</t>
        </is>
      </c>
      <c r="B50" s="13">
        <f>SUM(B38:B49)</f>
        <v/>
      </c>
      <c r="C50" s="13">
        <f>SUM(C38:C49)</f>
        <v/>
      </c>
      <c r="D50" s="13">
        <f>SUM(D38:D49)</f>
        <v/>
      </c>
      <c r="E50" s="13">
        <f>SUM(E38:E49)</f>
        <v/>
      </c>
      <c r="F50" s="13">
        <f>SUM(F38:F49)</f>
        <v/>
      </c>
      <c r="G50" s="13">
        <f>SUM(G38:G49)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62" customWidth="1" min="3" max="3"/>
    <col width="18" customWidth="1" min="4" max="4"/>
    <col width="4" customWidth="1" min="5" max="5"/>
  </cols>
  <sheetData>
    <row r="1" ht="24" customHeight="1">
      <c r="A1" s="1" t="inlineStr">
        <is>
          <t>إزاي نوصل للتكلفة إلى قرابة 700$/سنة — رافعات وباقات مقترحة</t>
        </is>
      </c>
    </row>
    <row r="2">
      <c r="A2" s="17" t="inlineStr">
        <is>
          <t>نقطة البداية (التصميم الحالي، السنوات التالية) = $219.36/سنة</t>
        </is>
      </c>
    </row>
    <row r="4">
      <c r="A4" s="5" t="inlineStr">
        <is>
          <t>أولاً: قائمة الرافعات (اختار منها)</t>
        </is>
      </c>
    </row>
    <row r="5">
      <c r="A5" s="2" t="inlineStr">
        <is>
          <t>الرافعة (الخدمة)</t>
        </is>
      </c>
      <c r="B5" s="2" t="inlineStr">
        <is>
          <t>التكلفة/سنة ($)</t>
        </is>
      </c>
      <c r="C5" s="2" t="inlineStr">
        <is>
          <t>إيه اللي بتضيفه</t>
        </is>
      </c>
      <c r="D5" s="2" t="inlineStr">
        <is>
          <t>الأولوية</t>
        </is>
      </c>
      <c r="E5" s="2" t="inlineStr"/>
    </row>
    <row r="6">
      <c r="A6" s="3" t="inlineStr">
        <is>
          <t>Supabase Pro (بدل المجاني)</t>
        </is>
      </c>
      <c r="B6" s="7" t="n">
        <v>300</v>
      </c>
      <c r="C6" s="3" t="inlineStr">
        <is>
          <t>يلغي خطر إيقاف المشروع المجاني + SMTP مخصص + نسخ احتياطي يومي + دعم</t>
        </is>
      </c>
      <c r="D6" s="3" t="inlineStr">
        <is>
          <t>عالية</t>
        </is>
      </c>
    </row>
    <row r="7">
      <c r="A7" s="3" t="inlineStr">
        <is>
          <t>Cloudflare Pro للنطاق ($20/شهر)</t>
        </is>
      </c>
      <c r="B7" s="7" t="n">
        <v>240</v>
      </c>
      <c r="C7" s="3" t="inlineStr">
        <is>
          <t>WAF مُدار + قواعد صفحات + تحسين صور + دعم 24/7</t>
        </is>
      </c>
      <c r="D7" s="3" t="inlineStr">
        <is>
          <t>متوسطة</t>
        </is>
      </c>
    </row>
    <row r="8">
      <c r="A8" s="3" t="inlineStr">
        <is>
          <t>Apple Developer (تطبيق iOS)</t>
        </is>
      </c>
      <c r="B8" s="7" t="n">
        <v>99</v>
      </c>
      <c r="C8" s="3" t="inlineStr">
        <is>
          <t>لازم لو هتنزّل التطبيق على App Store</t>
        </is>
      </c>
      <c r="D8" s="3" t="inlineStr">
        <is>
          <t>حسب الحاجة</t>
        </is>
      </c>
    </row>
    <row r="9">
      <c r="A9" s="3" t="inlineStr">
        <is>
          <t>مراقبة Uptime + Logs (Better Stack $10/شهر)</t>
        </is>
      </c>
      <c r="B9" s="7" t="n">
        <v>120</v>
      </c>
      <c r="C9" s="3" t="inlineStr">
        <is>
          <t>تنبيه قبل ما الطلاب يشتكوا — يراقب الـ API والـ Worker</t>
        </is>
      </c>
      <c r="D9" s="3" t="inlineStr">
        <is>
          <t>متوسطة</t>
        </is>
      </c>
    </row>
    <row r="10">
      <c r="A10" s="3" t="inlineStr">
        <is>
          <t>Sentry Developer ($26/شهر)</t>
        </is>
      </c>
      <c r="B10" s="7" t="n">
        <v>312</v>
      </c>
      <c r="C10" s="3" t="inlineStr">
        <is>
          <t>تتبّع أخطاء التطبيق — المجاني (5k خطأ/شهر) يكفي غالباً</t>
        </is>
      </c>
      <c r="D10" s="3" t="inlineStr">
        <is>
          <t>منخفضة</t>
        </is>
      </c>
    </row>
    <row r="11">
      <c r="A11" s="3" t="inlineStr">
        <is>
          <t>MongoDB Atlas Flex (بدل D1)</t>
        </is>
      </c>
      <c r="B11" s="7" t="n">
        <v>144</v>
      </c>
      <c r="C11" s="3" t="inlineStr">
        <is>
          <t>فقط لو فريقك أريح مع Mongo — D1 بـ $0 وأسرع</t>
        </is>
      </c>
      <c r="D11" s="3" t="inlineStr">
        <is>
          <t>اختياري</t>
        </is>
      </c>
    </row>
    <row r="12">
      <c r="A12" s="3" t="inlineStr">
        <is>
          <t>تخزين Bunny 100GB ($0.055/GB)</t>
        </is>
      </c>
      <c r="B12" s="7" t="n">
        <v>66</v>
      </c>
      <c r="C12" s="3" t="inlineStr">
        <is>
          <t>نسخة احتياطية من الفيديو + إمكانية إعادة النقل</t>
        </is>
      </c>
      <c r="D12" s="3" t="inlineStr">
        <is>
          <t>متوسطة</t>
        </is>
      </c>
    </row>
    <row r="13">
      <c r="A13" s="3" t="inlineStr">
        <is>
          <t>نسخ احتياطي D1 → R2 (كرون يومي)</t>
        </is>
      </c>
      <c r="B13" s="7" t="n">
        <v>2</v>
      </c>
      <c r="C13" s="3" t="inlineStr">
        <is>
          <t>أرخص وأهم بند أمان في القائمة</t>
        </is>
      </c>
      <c r="D13" s="3" t="inlineStr">
        <is>
          <t>عالية</t>
        </is>
      </c>
    </row>
    <row r="14">
      <c r="A14" s="3" t="inlineStr">
        <is>
          <t>Resend / SMTP للإيميلات ($20/شهر)</t>
        </is>
      </c>
      <c r="B14" s="7" t="n">
        <v>240</v>
      </c>
      <c r="C14" s="3" t="inlineStr">
        <is>
          <t>إيميلات التفعيل واسترجاع كلمة المرور — المجاني 3k/شهر يكفي</t>
        </is>
      </c>
      <c r="D14" s="3" t="inlineStr">
        <is>
          <t>منخفضة</t>
        </is>
      </c>
    </row>
    <row r="15">
      <c r="A15" s="3" t="inlineStr">
        <is>
          <t>هامش طوارئ 10%</t>
        </is>
      </c>
      <c r="B15" s="7" t="n">
        <v>22</v>
      </c>
      <c r="C15" s="3" t="inlineStr">
        <is>
          <t>لأي تجاوز غير متوقع</t>
        </is>
      </c>
      <c r="D15" s="3" t="inlineStr">
        <is>
          <t>موصى به</t>
        </is>
      </c>
    </row>
    <row r="18">
      <c r="A18" s="5" t="inlineStr">
        <is>
          <t>ثانياً: باقات جاهزة قريبة من 700$</t>
        </is>
      </c>
    </row>
    <row r="19">
      <c r="A19" s="2" t="inlineStr">
        <is>
          <t>الباقة</t>
        </is>
      </c>
      <c r="B19" s="2" t="inlineStr">
        <is>
          <t>البند</t>
        </is>
      </c>
      <c r="C19" s="2" t="inlineStr">
        <is>
          <t>التكلفة/سنة ($)</t>
        </is>
      </c>
      <c r="D19" s="2" t="inlineStr">
        <is>
          <t>الإجمالي ($)</t>
        </is>
      </c>
      <c r="E19" s="2" t="inlineStr"/>
    </row>
    <row r="20">
      <c r="A20" s="3" t="inlineStr">
        <is>
          <t>باقة «إنتاج مستقر» — مُوصى بها</t>
        </is>
      </c>
      <c r="B20" s="3" t="inlineStr">
        <is>
          <t>الأساس (سنوات تالية)</t>
        </is>
      </c>
      <c r="C20" s="3" t="n">
        <v>219.36</v>
      </c>
    </row>
    <row r="21">
      <c r="A21" s="3" t="inlineStr"/>
      <c r="B21" s="3" t="inlineStr">
        <is>
          <t>Supabase Pro</t>
        </is>
      </c>
      <c r="C21" s="3" t="n">
        <v>300</v>
      </c>
    </row>
    <row r="22">
      <c r="A22" s="3" t="inlineStr"/>
      <c r="B22" s="3" t="inlineStr">
        <is>
          <t>مراقبة Uptime + Logs</t>
        </is>
      </c>
      <c r="C22" s="3" t="n">
        <v>120</v>
      </c>
    </row>
    <row r="23">
      <c r="A23" s="3" t="inlineStr"/>
      <c r="B23" s="3" t="inlineStr">
        <is>
          <t>تخزين Bunny 100GB</t>
        </is>
      </c>
      <c r="C23" s="3" t="n">
        <v>66</v>
      </c>
    </row>
    <row r="24">
      <c r="A24" s="3" t="inlineStr"/>
      <c r="B24" s="3" t="inlineStr">
        <is>
          <t>نسخ احتياطي D1 → R2</t>
        </is>
      </c>
      <c r="C24" s="3" t="n">
        <v>2</v>
      </c>
    </row>
    <row r="25">
      <c r="A25" s="8" t="inlineStr">
        <is>
          <t>الإجمالي</t>
        </is>
      </c>
      <c r="D25" s="13" t="n">
        <v>707.36</v>
      </c>
    </row>
    <row r="27">
      <c r="A27" s="3" t="inlineStr">
        <is>
          <t>باقة «إنتاج + iOS»</t>
        </is>
      </c>
      <c r="B27" s="3" t="inlineStr">
        <is>
          <t>الأساس (سنوات تالية)</t>
        </is>
      </c>
      <c r="C27" s="3" t="n">
        <v>219.36</v>
      </c>
    </row>
    <row r="28">
      <c r="A28" s="3" t="inlineStr"/>
      <c r="B28" s="3" t="inlineStr">
        <is>
          <t>Supabase Pro</t>
        </is>
      </c>
      <c r="C28" s="3" t="n">
        <v>300</v>
      </c>
    </row>
    <row r="29">
      <c r="A29" s="3" t="inlineStr"/>
      <c r="B29" s="3" t="inlineStr">
        <is>
          <t>Apple Developer</t>
        </is>
      </c>
      <c r="C29" s="3" t="n">
        <v>99</v>
      </c>
    </row>
    <row r="30">
      <c r="A30" s="3" t="inlineStr"/>
      <c r="B30" s="3" t="inlineStr">
        <is>
          <t>تخزين Bunny 100GB</t>
        </is>
      </c>
      <c r="C30" s="3" t="n">
        <v>66</v>
      </c>
    </row>
    <row r="31">
      <c r="A31" s="3" t="inlineStr"/>
      <c r="B31" s="3" t="inlineStr">
        <is>
          <t>نسخ احتياطي D1 → R2</t>
        </is>
      </c>
      <c r="C31" s="3" t="n">
        <v>2</v>
      </c>
    </row>
    <row r="32">
      <c r="A32" s="8" t="inlineStr">
        <is>
          <t>الإجمالي</t>
        </is>
      </c>
      <c r="D32" s="13" t="n">
        <v>686.36</v>
      </c>
    </row>
    <row r="34">
      <c r="A34" s="3" t="inlineStr">
        <is>
          <t>باقة «أداء + حماية»</t>
        </is>
      </c>
      <c r="B34" s="3" t="inlineStr">
        <is>
          <t>الأساس (سنوات تالية)</t>
        </is>
      </c>
      <c r="C34" s="3" t="n">
        <v>219.36</v>
      </c>
    </row>
    <row r="35">
      <c r="A35" s="3" t="inlineStr"/>
      <c r="B35" s="3" t="inlineStr">
        <is>
          <t>Supabase Pro</t>
        </is>
      </c>
      <c r="C35" s="3" t="n">
        <v>300</v>
      </c>
    </row>
    <row r="36">
      <c r="A36" s="3" t="inlineStr"/>
      <c r="B36" s="3" t="inlineStr">
        <is>
          <t>Cloudflare Pro للنطاق</t>
        </is>
      </c>
      <c r="C36" s="3" t="n">
        <v>240</v>
      </c>
    </row>
    <row r="37">
      <c r="A37" s="3" t="inlineStr"/>
      <c r="B37" s="3" t="inlineStr">
        <is>
          <t>نسخ احتياطي D1 → R2</t>
        </is>
      </c>
      <c r="C37" s="3" t="n">
        <v>2</v>
      </c>
    </row>
    <row r="38">
      <c r="A38" s="8" t="inlineStr">
        <is>
          <t>الإجمالي</t>
        </is>
      </c>
      <c r="D38" s="13" t="n">
        <v>761.36</v>
      </c>
    </row>
    <row r="40">
      <c r="A40" s="5" t="inlineStr">
        <is>
          <t>ثالثاً: نفس الرقم من تغيير الافتراضات فقط (بدون خدمات مدفوعة)</t>
        </is>
      </c>
    </row>
    <row r="41">
      <c r="A41" s="2" t="inlineStr">
        <is>
          <t>التغيير في الافتراضات</t>
        </is>
      </c>
      <c r="B41" s="2" t="inlineStr">
        <is>
          <t>الزيادة/سنة ($)</t>
        </is>
      </c>
      <c r="C41" s="2" t="inlineStr">
        <is>
          <t>الإجمالي التراكمي ($)</t>
        </is>
      </c>
      <c r="D41" s="2" t="inlineStr"/>
      <c r="E41" s="2" t="inlineStr"/>
    </row>
    <row r="42">
      <c r="A42" s="3" t="inlineStr">
        <is>
          <t>نقطة البداية</t>
        </is>
      </c>
      <c r="C42" s="3" t="n">
        <v>219.36</v>
      </c>
    </row>
    <row r="43">
      <c r="A43" s="3" t="inlineStr">
        <is>
          <t>الاحتفاظ 12 شهر متحرك (بدل حذف بنهاية السنة)</t>
        </is>
      </c>
      <c r="B43" s="3" t="n">
        <v>129.6</v>
      </c>
      <c r="C43" s="3" t="n">
        <v>348.96</v>
      </c>
    </row>
    <row r="44">
      <c r="A44" s="3" t="inlineStr">
        <is>
          <t>سحب Bunny بتسعير الشرق الأوسط (0.06$/GB)</t>
        </is>
      </c>
      <c r="B44" s="3" t="n">
        <v>75.59999999999999</v>
      </c>
      <c r="C44" s="3" t="n">
        <v>424.56</v>
      </c>
    </row>
    <row r="45">
      <c r="A45" s="3" t="inlineStr">
        <is>
          <t>بدون كاش حافة (كل القراءات من R2)</t>
        </is>
      </c>
      <c r="B45" s="3" t="n">
        <v>31.44</v>
      </c>
      <c r="C45" s="3" t="n">
        <v>456</v>
      </c>
    </row>
    <row r="46">
      <c r="A46" s="3" t="inlineStr">
        <is>
          <t>10,000 طالب بدل 2,000</t>
        </is>
      </c>
      <c r="B46" s="3" t="n">
        <v>13</v>
      </c>
      <c r="C46" s="3" t="n">
        <v>469</v>
      </c>
    </row>
    <row r="47">
      <c r="A47" s="3" t="inlineStr">
        <is>
          <t>منصة ثانية على نفس الحساب (مدرس تاني)</t>
        </is>
      </c>
      <c r="B47" s="3" t="n">
        <v>143</v>
      </c>
      <c r="C47" s="3" t="n">
        <v>612</v>
      </c>
    </row>
    <row r="48">
      <c r="A48" s="8" t="inlineStr">
        <is>
          <t>أقصى رقم طبيعي بدون أي خدمة مدفوعة</t>
        </is>
      </c>
      <c r="C48" s="13" t="n">
        <v>612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2026-09-16T04:48:29Z</dcterms:created>
  <dcterms:modified xsi:type="dcterms:W3CDTF">2026-09-16T04:48:29Z</dcterms:modified>
</cp:coreProperties>
</file>